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okesh\Documents\Downloads\"/>
    </mc:Choice>
  </mc:AlternateContent>
  <xr:revisionPtr revIDLastSave="0" documentId="8_{35D3D0FB-FED4-4AB6-AF1F-4B318AA35676}" xr6:coauthVersionLast="47" xr6:coauthVersionMax="47" xr10:uidLastSave="{00000000-0000-0000-0000-000000000000}"/>
  <bookViews>
    <workbookView xWindow="-108" yWindow="-108" windowWidth="23256" windowHeight="12456" tabRatio="500" firstSheet="4" activeTab="4" xr2:uid="{00000000-000D-0000-FFFF-FFFF00000000}"/>
  </bookViews>
  <sheets>
    <sheet name="Product type" sheetId="1" state="hidden" r:id="rId1"/>
    <sheet name="Key loan summary " sheetId="2" state="hidden" r:id="rId2"/>
    <sheet name="Collateral Details" sheetId="3" state="hidden" r:id="rId3"/>
    <sheet name="GST" sheetId="4" state="hidden" r:id="rId4"/>
    <sheet name="RTR " sheetId="5" r:id="rId5"/>
    <sheet name="Banking" sheetId="6" state="hidden" r:id="rId6"/>
    <sheet name="Eligibility-Salaried" sheetId="7" state="hidden" r:id="rId7"/>
    <sheet name="Eligibility- Normal Income" sheetId="8" r:id="rId8"/>
    <sheet name="Eiligibility-RTR Sheet" sheetId="9" state="hidden" r:id="rId9"/>
    <sheet name="Eligibility -Assessment" sheetId="10" state="hidden" r:id="rId10"/>
    <sheet name="Eligibility - Banking Program" sheetId="11" state="hidden" r:id="rId11"/>
    <sheet name="Eligibility Computation" sheetId="12" state="hidden" r:id="rId12"/>
    <sheet name="Cashflow assessment" sheetId="13" state="hidden" r:id="rId13"/>
    <sheet name="Consolidated Fin" sheetId="14" r:id="rId14"/>
    <sheet name="Fin -1" sheetId="15" r:id="rId15"/>
    <sheet name="Fin -2" sheetId="16" r:id="rId16"/>
    <sheet name="Fin -3" sheetId="17" r:id="rId17"/>
    <sheet name="Fin -4" sheetId="18" r:id="rId18"/>
    <sheet name="Term Loan Mapping" sheetId="19" state="hidden" r:id="rId19"/>
    <sheet name="Health check" sheetId="20" state="hidden" r:id="rId20"/>
    <sheet name="Asset Base " sheetId="21" state="hidden" r:id="rId21"/>
    <sheet name="Deviation list" sheetId="22" state="hidden" r:id="rId22"/>
  </sheets>
  <externalReferences>
    <externalReference r:id="rId23"/>
    <externalReference r:id="rId24"/>
  </externalReferences>
  <definedNames>
    <definedName name="_xlnm._FilterDatabase" localSheetId="21" hidden="1">'Deviation list'!$A$3:$G$46</definedName>
    <definedName name="applicantname" localSheetId="13">#REF!</definedName>
    <definedName name="applicantname" localSheetId="10">#REF!</definedName>
    <definedName name="applicantname" localSheetId="15">#REF!</definedName>
    <definedName name="applicantname" localSheetId="16">#REF!</definedName>
    <definedName name="applicantname" localSheetId="17">#REF!</definedName>
    <definedName name="applicantname">#REF!</definedName>
    <definedName name="Beg_Bal" localSheetId="13">#REF!</definedName>
    <definedName name="Beg_Bal" localSheetId="10">#REF!</definedName>
    <definedName name="Beg_Bal" localSheetId="14">#REF!</definedName>
    <definedName name="Beg_Bal" localSheetId="15">#REF!</definedName>
    <definedName name="Beg_Bal" localSheetId="16">#REF!</definedName>
    <definedName name="Beg_Bal" localSheetId="17">#REF!</definedName>
    <definedName name="Beg_Bal">#REF!</definedName>
    <definedName name="biztype">[1]Sheet1!$BO$2:$BO$5</definedName>
    <definedName name="borrowers">[1]Sheet1!$BQ$11:$BQ$20</definedName>
    <definedName name="Case1">[1]Sheet1!$E$3:$E$30</definedName>
    <definedName name="Case10">[1]Sheet1!$N$3:$N$30</definedName>
    <definedName name="Case2">[1]Sheet1!$F$3:$F$30</definedName>
    <definedName name="Case3">[1]Sheet1!$G$3:$G$30</definedName>
    <definedName name="Case4">[1]Sheet1!$H$3:$H$30</definedName>
    <definedName name="Case5">[1]Sheet1!$I$3:$I$30</definedName>
    <definedName name="Case6">[1]Sheet1!$J$3:$J$30</definedName>
    <definedName name="Case7">[1]Sheet1!$K$3:$K$30</definedName>
    <definedName name="Case8">[1]Sheet1!$L$3:$L$30</definedName>
    <definedName name="Case9">[1]Sheet1!$M$3:$M$30</definedName>
    <definedName name="Data" localSheetId="13">#REF!</definedName>
    <definedName name="Data" localSheetId="10">#REF!</definedName>
    <definedName name="Data" localSheetId="14">#REF!</definedName>
    <definedName name="Data" localSheetId="15">#REF!</definedName>
    <definedName name="Data" localSheetId="16">#REF!</definedName>
    <definedName name="Data" localSheetId="17">#REF!</definedName>
    <definedName name="Data">#REF!</definedName>
    <definedName name="End_Bal" localSheetId="13">#REF!</definedName>
    <definedName name="End_Bal" localSheetId="10">#REF!</definedName>
    <definedName name="End_Bal" localSheetId="14">#REF!</definedName>
    <definedName name="End_Bal" localSheetId="15">#REF!</definedName>
    <definedName name="End_Bal" localSheetId="16">#REF!</definedName>
    <definedName name="End_Bal" localSheetId="17">#REF!</definedName>
    <definedName name="End_Bal">#REF!</definedName>
    <definedName name="entity_type">[1]Sheet1!$AZ$2:$AZ$19</definedName>
    <definedName name="Extra_Pay" localSheetId="13">#REF!</definedName>
    <definedName name="Extra_Pay" localSheetId="10">#REF!</definedName>
    <definedName name="Extra_Pay" localSheetId="14">#REF!</definedName>
    <definedName name="Extra_Pay" localSheetId="15">#REF!</definedName>
    <definedName name="Extra_Pay" localSheetId="16">#REF!</definedName>
    <definedName name="Extra_Pay" localSheetId="17">#REF!</definedName>
    <definedName name="Extra_Pay">#REF!</definedName>
    <definedName name="financials">[2]Workings!$N$4:$N$7</definedName>
    <definedName name="Full_Print" localSheetId="13">#REF!</definedName>
    <definedName name="Full_Print" localSheetId="10">#REF!</definedName>
    <definedName name="Full_Print" localSheetId="14">#REF!</definedName>
    <definedName name="Full_Print" localSheetId="15">#REF!</definedName>
    <definedName name="Full_Print" localSheetId="16">#REF!</definedName>
    <definedName name="Full_Print" localSheetId="17">#REF!</definedName>
    <definedName name="Full_Print">#REF!</definedName>
    <definedName name="Header_Row" localSheetId="13">ROW(#REF!)</definedName>
    <definedName name="Header_Row" localSheetId="10">ROW(#REF!)</definedName>
    <definedName name="Header_Row" localSheetId="14">ROW(#REF!)</definedName>
    <definedName name="Header_Row" localSheetId="15">ROW(#REF!)</definedName>
    <definedName name="Header_Row" localSheetId="16">ROW(#REF!)</definedName>
    <definedName name="Header_Row" localSheetId="17">ROW(#REF!)</definedName>
    <definedName name="Header_Row">ROW(#REF!)</definedName>
    <definedName name="ifc_no_go_list">[1]Sheet1!$AQ$8:$AQ$16</definedName>
    <definedName name="ind_list1">[1]Sheet1!$B$2:$B$96</definedName>
    <definedName name="Int" localSheetId="13">#REF!</definedName>
    <definedName name="Int" localSheetId="10">#REF!</definedName>
    <definedName name="Int" localSheetId="14">#REF!</definedName>
    <definedName name="Int" localSheetId="15">#REF!</definedName>
    <definedName name="Int" localSheetId="16">#REF!</definedName>
    <definedName name="Int" localSheetId="17">#REF!</definedName>
    <definedName name="Int">#REF!</definedName>
    <definedName name="Interest_Rate" localSheetId="13">#REF!</definedName>
    <definedName name="Interest_Rate" localSheetId="10">#REF!</definedName>
    <definedName name="Interest_Rate" localSheetId="14">#REF!</definedName>
    <definedName name="Interest_Rate" localSheetId="15">#REF!</definedName>
    <definedName name="Interest_Rate" localSheetId="16">#REF!</definedName>
    <definedName name="Interest_Rate" localSheetId="17">#REF!</definedName>
    <definedName name="Interest_Rate">#REF!</definedName>
    <definedName name="Last_Row" localSheetId="13">IF([0]!Values_Entered,'Consolidated Fin'!Header_Row+[0]!Number_of_Payments,'Consolidated Fin'!Header_Row)</definedName>
    <definedName name="Last_Row" localSheetId="10">IF([0]!Values_Entered,'Eligibility - Banking Program'!Header_Row+[0]!Number_of_Payments,'Eligibility - Banking Program'!Header_Row)</definedName>
    <definedName name="Last_Row" localSheetId="14">IF([0]!Values_Entered,'Fin -1'!Header_Row+[0]!Number_of_Payments,'Fin -1'!Header_Row)</definedName>
    <definedName name="Last_Row" localSheetId="15">IF([0]!Values_Entered,'Fin -2'!Header_Row+[0]!Number_of_Payments,'Fin -2'!Header_Row)</definedName>
    <definedName name="Last_Row" localSheetId="16">IF([0]!Values_Entered,'Fin -3'!Header_Row+[0]!Number_of_Payments,'Fin -3'!Header_Row)</definedName>
    <definedName name="Last_Row" localSheetId="17">IF([0]!Values_Entered,'Fin -4'!Header_Row+[0]!Number_of_Payments,'Fin -4'!Header_Row)</definedName>
    <definedName name="Last_Row">IF(Values_Entered,Header_Row+Number_of_Payments,Header_Row)</definedName>
    <definedName name="Lenders">[1]Sheet1!$DE$3:$DE$5</definedName>
    <definedName name="Loan_Amount" localSheetId="13">#REF!</definedName>
    <definedName name="Loan_Amount" localSheetId="10">#REF!</definedName>
    <definedName name="Loan_Amount" localSheetId="14">#REF!</definedName>
    <definedName name="Loan_Amount" localSheetId="15">#REF!</definedName>
    <definedName name="Loan_Amount" localSheetId="16">#REF!</definedName>
    <definedName name="Loan_Amount" localSheetId="17">#REF!</definedName>
    <definedName name="Loan_Amount">#REF!</definedName>
    <definedName name="Loan_Months" localSheetId="13">#REF!</definedName>
    <definedName name="Loan_Months" localSheetId="10">#REF!</definedName>
    <definedName name="Loan_Months" localSheetId="14">#REF!</definedName>
    <definedName name="Loan_Months" localSheetId="15">#REF!</definedName>
    <definedName name="Loan_Months" localSheetId="16">#REF!</definedName>
    <definedName name="Loan_Months" localSheetId="17">#REF!</definedName>
    <definedName name="Loan_Months">#REF!</definedName>
    <definedName name="Loan_Start" localSheetId="13">#REF!</definedName>
    <definedName name="Loan_Start" localSheetId="10">#REF!</definedName>
    <definedName name="Loan_Start" localSheetId="14">#REF!</definedName>
    <definedName name="Loan_Start" localSheetId="15">#REF!</definedName>
    <definedName name="Loan_Start" localSheetId="16">#REF!</definedName>
    <definedName name="Loan_Start" localSheetId="17">#REF!</definedName>
    <definedName name="Loan_Start">#REF!</definedName>
    <definedName name="loan_status">[1]Sheet1!$DF$7:$DF$12</definedName>
    <definedName name="loan_type">[1]Sheet1!$DI$2:$DI$33</definedName>
    <definedName name="Loan_Years" localSheetId="13">#REF!</definedName>
    <definedName name="Loan_Years" localSheetId="10">#REF!</definedName>
    <definedName name="Loan_Years" localSheetId="14">#REF!</definedName>
    <definedName name="Loan_Years" localSheetId="15">#REF!</definedName>
    <definedName name="Loan_Years" localSheetId="16">#REF!</definedName>
    <definedName name="Loan_Years" localSheetId="17">#REF!</definedName>
    <definedName name="Loan_Years">#REF!</definedName>
    <definedName name="loancategory">[2]Workings!$U$4:$U$5</definedName>
    <definedName name="loanstatus">[2]Workings!$V$4:$V$8</definedName>
    <definedName name="Moratorium_Period" localSheetId="13">#REF!</definedName>
    <definedName name="Moratorium_Period" localSheetId="10">#REF!</definedName>
    <definedName name="Moratorium_Period" localSheetId="14">#REF!</definedName>
    <definedName name="Moratorium_Period" localSheetId="15">#REF!</definedName>
    <definedName name="Moratorium_Period" localSheetId="16">#REF!</definedName>
    <definedName name="Moratorium_Period" localSheetId="17">#REF!</definedName>
    <definedName name="Moratorium_Period">#REF!</definedName>
    <definedName name="mortgagetype">[2]Workings!$M$4:$M$6</definedName>
    <definedName name="Number_of_Payments" localSheetId="13">MATCH(0.01,'Consolidated Fin'!End_Bal,-1)+1</definedName>
    <definedName name="Number_of_Payments" localSheetId="10">MATCH(0.01,'Eligibility - Banking Program'!End_Bal,-1)+1</definedName>
    <definedName name="Number_of_Payments" localSheetId="14">MATCH(0.01,'Fin -1'!End_Bal,-1)+1</definedName>
    <definedName name="Number_of_Payments" localSheetId="15">MATCH(0.01,'Fin -2'!End_Bal,-1)+1</definedName>
    <definedName name="Number_of_Payments" localSheetId="16">MATCH(0.01,'Fin -3'!End_Bal,-1)+1</definedName>
    <definedName name="Number_of_Payments" localSheetId="17">MATCH(0.01,'Fin -4'!End_Bal,-1)+1</definedName>
    <definedName name="Number_of_Payments">MATCH(0.01,End_Bal,-1)+1</definedName>
    <definedName name="ownership">[1]Sheet1!$BO$17:$BO$21</definedName>
    <definedName name="Pay_Date" localSheetId="13">#REF!</definedName>
    <definedName name="Pay_Date" localSheetId="10">#REF!</definedName>
    <definedName name="Pay_Date" localSheetId="14">#REF!</definedName>
    <definedName name="Pay_Date" localSheetId="15">#REF!</definedName>
    <definedName name="Pay_Date" localSheetId="16">#REF!</definedName>
    <definedName name="Pay_Date" localSheetId="17">#REF!</definedName>
    <definedName name="Pay_Date">#REF!</definedName>
    <definedName name="Pay_Num" localSheetId="13">#REF!</definedName>
    <definedName name="Pay_Num" localSheetId="10">#REF!</definedName>
    <definedName name="Pay_Num" localSheetId="14">#REF!</definedName>
    <definedName name="Pay_Num" localSheetId="15">#REF!</definedName>
    <definedName name="Pay_Num" localSheetId="16">#REF!</definedName>
    <definedName name="Pay_Num" localSheetId="17">#REF!</definedName>
    <definedName name="Pay_Num">#REF!</definedName>
    <definedName name="Payment_Date" localSheetId="13">DATE(YEAR('Consolidated Fin'!Loan_Start),MONTH('Consolidated Fin'!Loan_Start)+payment_number,DAY('Consolidated Fin'!Loan_Start))</definedName>
    <definedName name="Payment_Date" localSheetId="10">DATE(YEAR('Eligibility - Banking Program'!Loan_Start),MONTH('Eligibility - Banking Program'!Loan_Start)+payment_number,DAY('Eligibility - Banking Program'!Loan_Start))</definedName>
    <definedName name="Payment_Date" localSheetId="14">DATE(YEAR('Fin -1'!Loan_Start),MONTH('Fin -1'!Loan_Start)+payment_number,DAY('Fin -1'!Loan_Start))</definedName>
    <definedName name="Payment_Date" localSheetId="15">DATE(YEAR('Fin -2'!Loan_Start),MONTH('Fin -2'!Loan_Start)+payment_number,DAY('Fin -2'!Loan_Start))</definedName>
    <definedName name="Payment_Date" localSheetId="16">DATE(YEAR('Fin -3'!Loan_Start),MONTH('Fin -3'!Loan_Start)+payment_number,DAY('Fin -3'!Loan_Start))</definedName>
    <definedName name="Payment_Date" localSheetId="17">DATE(YEAR('Fin -4'!Loan_Start),MONTH('Fin -4'!Loan_Start)+payment_number,DAY('Fin -4'!Loan_Start))</definedName>
    <definedName name="Payment_Date">DATE(YEAR(Loan_Start),MONTH(Loan_Start)+payment_number,DAY(Loan_Start))</definedName>
    <definedName name="Princ" localSheetId="13">#REF!</definedName>
    <definedName name="Princ" localSheetId="10">#REF!</definedName>
    <definedName name="Princ" localSheetId="14">#REF!</definedName>
    <definedName name="Princ" localSheetId="15">#REF!</definedName>
    <definedName name="Princ" localSheetId="16">#REF!</definedName>
    <definedName name="Princ" localSheetId="17">#REF!</definedName>
    <definedName name="Princ">#REF!</definedName>
    <definedName name="Principalrepaid" localSheetId="13">#REF!</definedName>
    <definedName name="Principalrepaid" localSheetId="10">#REF!</definedName>
    <definedName name="Principalrepaid" localSheetId="14">#REF!</definedName>
    <definedName name="Principalrepaid" localSheetId="15">#REF!</definedName>
    <definedName name="Principalrepaid" localSheetId="16">#REF!</definedName>
    <definedName name="Principalrepaid" localSheetId="17">#REF!</definedName>
    <definedName name="Principalrepaid">#REF!</definedName>
    <definedName name="_xlnm.Print_Area" localSheetId="20">'Asset Base '!$B$1:$I$15</definedName>
    <definedName name="_xlnm.Print_Area" localSheetId="21">'Deviation list'!$D$2:$G$73</definedName>
    <definedName name="_xlnm.Print_Area" localSheetId="19">'Health check'!$B$1:$E$14</definedName>
    <definedName name="_xlnm.Print_Area" localSheetId="1">'Key loan summary '!$B$2:$J$80</definedName>
    <definedName name="Print_Area_Reset" localSheetId="13">OFFSET('Consolidated Fin'!Full_Print,0,0,'Consolidated Fin'!Last_Row)</definedName>
    <definedName name="Print_Area_Reset" localSheetId="10">OFFSET('Eligibility - Banking Program'!Full_Print,0,0,'Eligibility - Banking Program'!Last_Row)</definedName>
    <definedName name="Print_Area_Reset" localSheetId="14">OFFSET('Fin -1'!Full_Print,0,0,'Fin -1'!Last_Row)</definedName>
    <definedName name="Print_Area_Reset" localSheetId="15">OFFSET('Fin -2'!Full_Print,0,0,'Fin -2'!Last_Row)</definedName>
    <definedName name="Print_Area_Reset" localSheetId="16">OFFSET('Fin -3'!Full_Print,0,0,'Fin -3'!Last_Row)</definedName>
    <definedName name="Print_Area_Reset" localSheetId="17">OFFSET('Fin -4'!Full_Print,0,0,'Fin -4'!Last_Row)</definedName>
    <definedName name="Print_Area_Reset">OFFSET(Full_Print,0,0,Last_Row)</definedName>
    <definedName name="programname" localSheetId="13">[2]Workings!#REF!</definedName>
    <definedName name="programname" localSheetId="10">[2]Workings!#REF!</definedName>
    <definedName name="programname" localSheetId="14">[2]Workings!#REF!</definedName>
    <definedName name="programname" localSheetId="15">[2]Workings!#REF!</definedName>
    <definedName name="programname" localSheetId="16">[2]Workings!#REF!</definedName>
    <definedName name="programname" localSheetId="17">[2]Workings!#REF!</definedName>
    <definedName name="programname">[2]Workings!#REF!</definedName>
    <definedName name="property_desc">[1]Sheet1!$AV$21:$AV$46</definedName>
    <definedName name="property_type">[1]Sheet1!$BX$2:$BX$33</definedName>
    <definedName name="repayment">[2]Workings!$X$4:$X$43</definedName>
    <definedName name="Sched_Pay" localSheetId="13">#REF!</definedName>
    <definedName name="Sched_Pay" localSheetId="10">#REF!</definedName>
    <definedName name="Sched_Pay" localSheetId="14">#REF!</definedName>
    <definedName name="Sched_Pay" localSheetId="15">#REF!</definedName>
    <definedName name="Sched_Pay" localSheetId="16">#REF!</definedName>
    <definedName name="Sched_Pay" localSheetId="17">#REF!</definedName>
    <definedName name="Sched_Pay">#REF!</definedName>
    <definedName name="Scheduled_Extra_Payments" localSheetId="13">#REF!</definedName>
    <definedName name="Scheduled_Extra_Payments" localSheetId="10">#REF!</definedName>
    <definedName name="Scheduled_Extra_Payments" localSheetId="14">#REF!</definedName>
    <definedName name="Scheduled_Extra_Payments" localSheetId="15">#REF!</definedName>
    <definedName name="Scheduled_Extra_Payments" localSheetId="16">#REF!</definedName>
    <definedName name="Scheduled_Extra_Payments" localSheetId="17">#REF!</definedName>
    <definedName name="Scheduled_Extra_Payments">#REF!</definedName>
    <definedName name="Scheduled_Interest_Rate" localSheetId="13">#REF!</definedName>
    <definedName name="Scheduled_Interest_Rate" localSheetId="10">#REF!</definedName>
    <definedName name="Scheduled_Interest_Rate" localSheetId="14">#REF!</definedName>
    <definedName name="Scheduled_Interest_Rate" localSheetId="15">#REF!</definedName>
    <definedName name="Scheduled_Interest_Rate" localSheetId="16">#REF!</definedName>
    <definedName name="Scheduled_Interest_Rate" localSheetId="17">#REF!</definedName>
    <definedName name="Scheduled_Interest_Rate">#REF!</definedName>
    <definedName name="Scheduled_Monthly_Payment" localSheetId="13">#REF!</definedName>
    <definedName name="Scheduled_Monthly_Payment" localSheetId="10">#REF!</definedName>
    <definedName name="Scheduled_Monthly_Payment" localSheetId="14">#REF!</definedName>
    <definedName name="Scheduled_Monthly_Payment" localSheetId="15">#REF!</definedName>
    <definedName name="Scheduled_Monthly_Payment" localSheetId="16">#REF!</definedName>
    <definedName name="Scheduled_Monthly_Payment" localSheetId="17">#REF!</definedName>
    <definedName name="Scheduled_Monthly_Payment">#REF!</definedName>
    <definedName name="Total_Interest" localSheetId="13">#REF!</definedName>
    <definedName name="Total_Interest" localSheetId="10">#REF!</definedName>
    <definedName name="Total_Interest" localSheetId="14">#REF!</definedName>
    <definedName name="Total_Interest" localSheetId="15">#REF!</definedName>
    <definedName name="Total_Interest" localSheetId="16">#REF!</definedName>
    <definedName name="Total_Interest" localSheetId="17">#REF!</definedName>
    <definedName name="Total_Interest">#REF!</definedName>
    <definedName name="Total_Pay" localSheetId="13">#REF!</definedName>
    <definedName name="Total_Pay" localSheetId="10">#REF!</definedName>
    <definedName name="Total_Pay" localSheetId="14">#REF!</definedName>
    <definedName name="Total_Pay" localSheetId="15">#REF!</definedName>
    <definedName name="Total_Pay" localSheetId="16">#REF!</definedName>
    <definedName name="Total_Pay" localSheetId="17">#REF!</definedName>
    <definedName name="Total_Pay">#REF!</definedName>
    <definedName name="Total_Payment" localSheetId="13">scheduled_payment+extra_payment</definedName>
    <definedName name="Total_Payment" localSheetId="10">scheduled_payment+extra_payment</definedName>
    <definedName name="Total_Payment" localSheetId="14">scheduled_payment+extra_payment</definedName>
    <definedName name="Total_Payment" localSheetId="15">scheduled_payment+extra_payment</definedName>
    <definedName name="Total_Payment" localSheetId="16">scheduled_payment+extra_payment</definedName>
    <definedName name="Total_Payment" localSheetId="17">scheduled_payment+extra_payment</definedName>
    <definedName name="Total_Payment">scheduled_payment+extra_payment</definedName>
    <definedName name="txn">[1]Sheet1!$BB$2:$BB$29</definedName>
    <definedName name="typeofloan">[2]Workings!$T$4:$T$32</definedName>
    <definedName name="Values_Entered" localSheetId="13">IF([0]!Loan_Amount*'Consolidated Fin'!Interest_Rate*[0]!Loan_Years*[0]!Loan_Start&gt;0,1,0)</definedName>
    <definedName name="Values_Entered" localSheetId="10">IF([0]!Loan_Amount*'Eligibility - Banking Program'!Interest_Rate*[0]!Loan_Years*[0]!Loan_Start&gt;0,1,0)</definedName>
    <definedName name="Values_Entered" localSheetId="14">IF([0]!Loan_Amount*'Fin -1'!Interest_Rate*[0]!Loan_Years*[0]!Loan_Start&gt;0,1,0)</definedName>
    <definedName name="Values_Entered" localSheetId="15">IF([0]!Loan_Amount*'Fin -2'!Interest_Rate*[0]!Loan_Years*[0]!Loan_Start&gt;0,1,0)</definedName>
    <definedName name="Values_Entered" localSheetId="16">IF([0]!Loan_Amount*'Fin -3'!Interest_Rate*[0]!Loan_Years*[0]!Loan_Start&gt;0,1,0)</definedName>
    <definedName name="Values_Entered" localSheetId="17">IF([0]!Loan_Amount*'Fin -4'!Interest_Rate*[0]!Loan_Years*[0]!Loan_Start&gt;0,1,0)</definedName>
    <definedName name="Values_Entered">IF(Loan_Amount*Interest_Rate*Loan_Years*Loan_Start&gt;0,1,0)</definedName>
  </definedName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46" i="22" l="1"/>
  <c r="L46" i="22"/>
  <c r="K46" i="22"/>
  <c r="H46" i="22"/>
  <c r="M45" i="22"/>
  <c r="L45" i="22"/>
  <c r="K45" i="22"/>
  <c r="H45" i="22"/>
  <c r="M44" i="22"/>
  <c r="L44" i="22"/>
  <c r="K44" i="22"/>
  <c r="H44" i="22"/>
  <c r="M43" i="22"/>
  <c r="L43" i="22"/>
  <c r="K43" i="22"/>
  <c r="H43" i="22"/>
  <c r="M42" i="22"/>
  <c r="L42" i="22"/>
  <c r="K42" i="22"/>
  <c r="H42" i="22"/>
  <c r="M41" i="22"/>
  <c r="L41" i="22"/>
  <c r="K41" i="22"/>
  <c r="H41" i="22"/>
  <c r="M40" i="22"/>
  <c r="L40" i="22"/>
  <c r="K40" i="22"/>
  <c r="H40" i="22"/>
  <c r="M39" i="22"/>
  <c r="L39" i="22"/>
  <c r="K39" i="22"/>
  <c r="H39" i="22"/>
  <c r="M38" i="22"/>
  <c r="L38" i="22"/>
  <c r="K38" i="22"/>
  <c r="H38" i="22"/>
  <c r="M37" i="22"/>
  <c r="L37" i="22"/>
  <c r="K37" i="22"/>
  <c r="H37" i="22"/>
  <c r="M36" i="22"/>
  <c r="L36" i="22"/>
  <c r="K36" i="22"/>
  <c r="H36" i="22"/>
  <c r="M35" i="22"/>
  <c r="L35" i="22"/>
  <c r="K35" i="22"/>
  <c r="H35" i="22"/>
  <c r="M34" i="22"/>
  <c r="L34" i="22"/>
  <c r="K34" i="22"/>
  <c r="H34" i="22"/>
  <c r="M33" i="22"/>
  <c r="L33" i="22"/>
  <c r="K33" i="22"/>
  <c r="H33" i="22"/>
  <c r="M32" i="22"/>
  <c r="L32" i="22"/>
  <c r="K32" i="22"/>
  <c r="H32" i="22"/>
  <c r="M31" i="22"/>
  <c r="L31" i="22"/>
  <c r="K31" i="22"/>
  <c r="H31" i="22"/>
  <c r="M30" i="22"/>
  <c r="L30" i="22"/>
  <c r="K30" i="22"/>
  <c r="H30" i="22"/>
  <c r="M29" i="22"/>
  <c r="L29" i="22"/>
  <c r="K29" i="22"/>
  <c r="H29" i="22"/>
  <c r="M28" i="22"/>
  <c r="L28" i="22"/>
  <c r="K28" i="22"/>
  <c r="H28" i="22"/>
  <c r="M27" i="22"/>
  <c r="L27" i="22"/>
  <c r="K27" i="22"/>
  <c r="H27" i="22"/>
  <c r="M26" i="22"/>
  <c r="L26" i="22"/>
  <c r="K26" i="22"/>
  <c r="H26" i="22"/>
  <c r="M25" i="22"/>
  <c r="L25" i="22"/>
  <c r="K25" i="22"/>
  <c r="H25" i="22"/>
  <c r="M24" i="22"/>
  <c r="L24" i="22"/>
  <c r="K24" i="22"/>
  <c r="H24" i="22"/>
  <c r="M23" i="22"/>
  <c r="L23" i="22"/>
  <c r="K23" i="22"/>
  <c r="H23" i="22"/>
  <c r="M22" i="22"/>
  <c r="L22" i="22"/>
  <c r="K22" i="22"/>
  <c r="H22" i="22"/>
  <c r="M21" i="22"/>
  <c r="L21" i="22"/>
  <c r="K21" i="22"/>
  <c r="H21" i="22"/>
  <c r="M20" i="22"/>
  <c r="L20" i="22"/>
  <c r="K20" i="22"/>
  <c r="H20" i="22"/>
  <c r="M19" i="22"/>
  <c r="L19" i="22"/>
  <c r="K19" i="22"/>
  <c r="H19" i="22"/>
  <c r="M18" i="22"/>
  <c r="L18" i="22"/>
  <c r="K18" i="22"/>
  <c r="H18" i="22"/>
  <c r="M17" i="22"/>
  <c r="L17" i="22"/>
  <c r="K17" i="22"/>
  <c r="H17" i="22"/>
  <c r="M16" i="22"/>
  <c r="L16" i="22"/>
  <c r="K16" i="22"/>
  <c r="H16" i="22"/>
  <c r="M15" i="22"/>
  <c r="L15" i="22"/>
  <c r="K15" i="22"/>
  <c r="H15" i="22"/>
  <c r="M14" i="22"/>
  <c r="L14" i="22"/>
  <c r="K14" i="22"/>
  <c r="H14" i="22"/>
  <c r="M13" i="22"/>
  <c r="L13" i="22"/>
  <c r="K13" i="22"/>
  <c r="H13" i="22"/>
  <c r="M12" i="22"/>
  <c r="L12" i="22"/>
  <c r="K12" i="22"/>
  <c r="H12" i="22"/>
  <c r="M11" i="22"/>
  <c r="L11" i="22"/>
  <c r="K11" i="22"/>
  <c r="H11" i="22"/>
  <c r="M10" i="22"/>
  <c r="L10" i="22"/>
  <c r="K10" i="22"/>
  <c r="H10" i="22"/>
  <c r="M9" i="22"/>
  <c r="L9" i="22"/>
  <c r="K9" i="22"/>
  <c r="H9" i="22"/>
  <c r="M8" i="22"/>
  <c r="L8" i="22"/>
  <c r="K8" i="22"/>
  <c r="H8" i="22"/>
  <c r="M7" i="22"/>
  <c r="L7" i="22"/>
  <c r="K7" i="22"/>
  <c r="H7" i="22"/>
  <c r="M6" i="22"/>
  <c r="L6" i="22"/>
  <c r="K6" i="22"/>
  <c r="H6" i="22"/>
  <c r="M5" i="22"/>
  <c r="L5" i="22"/>
  <c r="K5" i="22"/>
  <c r="H5" i="22"/>
  <c r="M4" i="22"/>
  <c r="L4" i="22"/>
  <c r="K4" i="22"/>
  <c r="H4" i="22"/>
  <c r="G15" i="21"/>
  <c r="F52" i="19"/>
  <c r="D52" i="19"/>
  <c r="C52" i="19"/>
  <c r="E51" i="19"/>
  <c r="G51" i="19" s="1"/>
  <c r="E50" i="19"/>
  <c r="G50" i="19" s="1"/>
  <c r="E49" i="19"/>
  <c r="G49" i="19" s="1"/>
  <c r="E48" i="19"/>
  <c r="G48" i="19" s="1"/>
  <c r="E47" i="19"/>
  <c r="G47" i="19" s="1"/>
  <c r="E46" i="19"/>
  <c r="G46" i="19" s="1"/>
  <c r="E45" i="19"/>
  <c r="G45" i="19" s="1"/>
  <c r="E44" i="19"/>
  <c r="G44" i="19" s="1"/>
  <c r="E43" i="19"/>
  <c r="G43" i="19" s="1"/>
  <c r="E42" i="19"/>
  <c r="G42" i="19" s="1"/>
  <c r="E41" i="19"/>
  <c r="G41" i="19" s="1"/>
  <c r="E40" i="19"/>
  <c r="G40" i="19" s="1"/>
  <c r="E39" i="19"/>
  <c r="G39" i="19" s="1"/>
  <c r="E38" i="19"/>
  <c r="G38" i="19" s="1"/>
  <c r="E37" i="19"/>
  <c r="G37" i="19" s="1"/>
  <c r="E36" i="19"/>
  <c r="G36" i="19" s="1"/>
  <c r="E35" i="19"/>
  <c r="G35" i="19" s="1"/>
  <c r="E34" i="19"/>
  <c r="G34" i="19" s="1"/>
  <c r="E33" i="19"/>
  <c r="G33" i="19" s="1"/>
  <c r="E32" i="19"/>
  <c r="G32" i="19" s="1"/>
  <c r="E31" i="19"/>
  <c r="G31" i="19" s="1"/>
  <c r="E30" i="19"/>
  <c r="G30" i="19" s="1"/>
  <c r="E29" i="19"/>
  <c r="G29" i="19" s="1"/>
  <c r="E28" i="19"/>
  <c r="G28" i="19" s="1"/>
  <c r="E27" i="19"/>
  <c r="G27" i="19" s="1"/>
  <c r="E26" i="19"/>
  <c r="G26" i="19" s="1"/>
  <c r="E25" i="19"/>
  <c r="G25" i="19" s="1"/>
  <c r="E24" i="19"/>
  <c r="G24" i="19" s="1"/>
  <c r="E23" i="19"/>
  <c r="G23" i="19" s="1"/>
  <c r="E22" i="19"/>
  <c r="G22" i="19" s="1"/>
  <c r="E21" i="19"/>
  <c r="G21" i="19" s="1"/>
  <c r="E20" i="19"/>
  <c r="G20" i="19" s="1"/>
  <c r="E19" i="19"/>
  <c r="G19" i="19" s="1"/>
  <c r="E18" i="19"/>
  <c r="G18" i="19" s="1"/>
  <c r="E17" i="19"/>
  <c r="G17" i="19" s="1"/>
  <c r="E16" i="19"/>
  <c r="G16" i="19" s="1"/>
  <c r="E15" i="19"/>
  <c r="G15" i="19" s="1"/>
  <c r="E14" i="19"/>
  <c r="G14" i="19" s="1"/>
  <c r="E13" i="19"/>
  <c r="G13" i="19" s="1"/>
  <c r="E12" i="19"/>
  <c r="G12" i="19" s="1"/>
  <c r="H11" i="19"/>
  <c r="B12" i="19" s="1"/>
  <c r="H12" i="19" s="1"/>
  <c r="B13" i="19" s="1"/>
  <c r="H13" i="19" s="1"/>
  <c r="B14" i="19" s="1"/>
  <c r="H14" i="19" s="1"/>
  <c r="B15" i="19" s="1"/>
  <c r="H15" i="19" s="1"/>
  <c r="B16" i="19" s="1"/>
  <c r="H16" i="19" s="1"/>
  <c r="B17" i="19" s="1"/>
  <c r="H17" i="19" s="1"/>
  <c r="B18" i="19" s="1"/>
  <c r="H18" i="19" s="1"/>
  <c r="B19" i="19" s="1"/>
  <c r="H19" i="19" s="1"/>
  <c r="B20" i="19" s="1"/>
  <c r="H20" i="19" s="1"/>
  <c r="B21" i="19" s="1"/>
  <c r="H21" i="19" s="1"/>
  <c r="B22" i="19" s="1"/>
  <c r="H22" i="19" s="1"/>
  <c r="B23" i="19" s="1"/>
  <c r="H23" i="19" s="1"/>
  <c r="B24" i="19" s="1"/>
  <c r="H24" i="19" s="1"/>
  <c r="B25" i="19" s="1"/>
  <c r="H25" i="19" s="1"/>
  <c r="B26" i="19" s="1"/>
  <c r="H26" i="19" s="1"/>
  <c r="B27" i="19" s="1"/>
  <c r="H27" i="19" s="1"/>
  <c r="B28" i="19" s="1"/>
  <c r="H28" i="19" s="1"/>
  <c r="B29" i="19" s="1"/>
  <c r="H29" i="19" s="1"/>
  <c r="B30" i="19" s="1"/>
  <c r="H30" i="19" s="1"/>
  <c r="B31" i="19" s="1"/>
  <c r="H31" i="19" s="1"/>
  <c r="B32" i="19" s="1"/>
  <c r="H32" i="19" s="1"/>
  <c r="B33" i="19" s="1"/>
  <c r="H33" i="19" s="1"/>
  <c r="B34" i="19" s="1"/>
  <c r="H34" i="19" s="1"/>
  <c r="B35" i="19" s="1"/>
  <c r="H35" i="19" s="1"/>
  <c r="B36" i="19" s="1"/>
  <c r="H36" i="19" s="1"/>
  <c r="B37" i="19" s="1"/>
  <c r="H37" i="19" s="1"/>
  <c r="B38" i="19" s="1"/>
  <c r="H38" i="19" s="1"/>
  <c r="B39" i="19" s="1"/>
  <c r="H39" i="19" s="1"/>
  <c r="B40" i="19" s="1"/>
  <c r="H40" i="19" s="1"/>
  <c r="B41" i="19" s="1"/>
  <c r="H41" i="19" s="1"/>
  <c r="B42" i="19" s="1"/>
  <c r="H42" i="19" s="1"/>
  <c r="B43" i="19" s="1"/>
  <c r="H43" i="19" s="1"/>
  <c r="B44" i="19" s="1"/>
  <c r="H44" i="19" s="1"/>
  <c r="B45" i="19" s="1"/>
  <c r="H45" i="19" s="1"/>
  <c r="B46" i="19" s="1"/>
  <c r="H46" i="19" s="1"/>
  <c r="B47" i="19" s="1"/>
  <c r="H47" i="19" s="1"/>
  <c r="B48" i="19" s="1"/>
  <c r="H48" i="19" s="1"/>
  <c r="B49" i="19" s="1"/>
  <c r="H49" i="19" s="1"/>
  <c r="B50" i="19" s="1"/>
  <c r="H50" i="19" s="1"/>
  <c r="B51" i="19" s="1"/>
  <c r="H51" i="19" s="1"/>
  <c r="E11" i="19"/>
  <c r="D94" i="18"/>
  <c r="C94" i="18"/>
  <c r="B94" i="18"/>
  <c r="D93" i="18"/>
  <c r="C93" i="18"/>
  <c r="B93" i="18"/>
  <c r="D92" i="18"/>
  <c r="C92" i="18"/>
  <c r="B92" i="18"/>
  <c r="D84" i="18"/>
  <c r="C84" i="18"/>
  <c r="B84" i="18"/>
  <c r="D83" i="18"/>
  <c r="C83" i="18"/>
  <c r="B83" i="18"/>
  <c r="F75" i="18"/>
  <c r="E75" i="18"/>
  <c r="F74" i="18"/>
  <c r="E74" i="18"/>
  <c r="F73" i="18"/>
  <c r="E73" i="18"/>
  <c r="D72" i="18"/>
  <c r="C72" i="18"/>
  <c r="F72" i="18" s="1"/>
  <c r="B72" i="18"/>
  <c r="E72" i="18" s="1"/>
  <c r="F71" i="18"/>
  <c r="E71" i="18"/>
  <c r="F70" i="18"/>
  <c r="E70" i="18"/>
  <c r="F69" i="18"/>
  <c r="E69" i="18"/>
  <c r="F68" i="18"/>
  <c r="E68" i="18"/>
  <c r="F67" i="18"/>
  <c r="E67" i="18"/>
  <c r="F66" i="18"/>
  <c r="E66" i="18"/>
  <c r="F65" i="18"/>
  <c r="E65" i="18"/>
  <c r="D64" i="18"/>
  <c r="C64" i="18"/>
  <c r="F64" i="18" s="1"/>
  <c r="B64" i="18"/>
  <c r="E64" i="18" s="1"/>
  <c r="F62" i="18"/>
  <c r="E62" i="18"/>
  <c r="D61" i="18"/>
  <c r="C61" i="18"/>
  <c r="B61" i="18"/>
  <c r="F60" i="18"/>
  <c r="E60" i="18"/>
  <c r="F59" i="18"/>
  <c r="E59" i="18"/>
  <c r="F58" i="18"/>
  <c r="E58" i="18"/>
  <c r="D54" i="18"/>
  <c r="C54" i="18"/>
  <c r="B54" i="18"/>
  <c r="F53" i="18"/>
  <c r="E53" i="18"/>
  <c r="F52" i="18"/>
  <c r="E52" i="18"/>
  <c r="F51" i="18"/>
  <c r="E51" i="18"/>
  <c r="F50" i="18"/>
  <c r="E50" i="18"/>
  <c r="F49" i="18"/>
  <c r="E49" i="18"/>
  <c r="D48" i="18"/>
  <c r="C48" i="18"/>
  <c r="F48" i="18" s="1"/>
  <c r="B48" i="18"/>
  <c r="E48" i="18" s="1"/>
  <c r="F47" i="18"/>
  <c r="E47" i="18"/>
  <c r="F46" i="18"/>
  <c r="E46" i="18"/>
  <c r="F44" i="18"/>
  <c r="E44" i="18"/>
  <c r="F43" i="18"/>
  <c r="E43" i="18"/>
  <c r="D42" i="18"/>
  <c r="D45" i="18" s="1"/>
  <c r="C42" i="18"/>
  <c r="B42" i="18"/>
  <c r="F41" i="18"/>
  <c r="E41" i="18"/>
  <c r="F40" i="18"/>
  <c r="E40" i="18"/>
  <c r="F39" i="18"/>
  <c r="E39" i="18"/>
  <c r="F37" i="18"/>
  <c r="E37" i="18"/>
  <c r="F35" i="18"/>
  <c r="E35" i="18"/>
  <c r="D34" i="18"/>
  <c r="C34" i="18"/>
  <c r="B34" i="18"/>
  <c r="F33" i="18"/>
  <c r="E33" i="18"/>
  <c r="F32" i="18"/>
  <c r="E32" i="18"/>
  <c r="D30" i="18"/>
  <c r="D79" i="18" s="1"/>
  <c r="C30" i="18"/>
  <c r="C79" i="18" s="1"/>
  <c r="B30" i="18"/>
  <c r="B79" i="18" s="1"/>
  <c r="E29" i="18"/>
  <c r="F25" i="18"/>
  <c r="E25" i="18"/>
  <c r="F22" i="18"/>
  <c r="E22" i="18"/>
  <c r="F21" i="18"/>
  <c r="E21" i="18"/>
  <c r="F20" i="18"/>
  <c r="E20" i="18"/>
  <c r="F19" i="18"/>
  <c r="E19" i="18"/>
  <c r="F18" i="18"/>
  <c r="E18" i="18"/>
  <c r="F16" i="18"/>
  <c r="E16" i="18"/>
  <c r="F15" i="18"/>
  <c r="E15" i="18"/>
  <c r="F14" i="18"/>
  <c r="E14" i="18"/>
  <c r="F13" i="18"/>
  <c r="E13" i="18"/>
  <c r="F12" i="18"/>
  <c r="E12" i="18"/>
  <c r="F11" i="18"/>
  <c r="E11" i="18"/>
  <c r="D9" i="18"/>
  <c r="D86" i="18" s="1"/>
  <c r="C9" i="18"/>
  <c r="B9" i="18"/>
  <c r="F8" i="18"/>
  <c r="E8" i="18"/>
  <c r="D7" i="18"/>
  <c r="C7" i="18"/>
  <c r="B7" i="18"/>
  <c r="F6" i="18"/>
  <c r="E6" i="18"/>
  <c r="F5" i="18"/>
  <c r="E5" i="18"/>
  <c r="F4" i="18"/>
  <c r="F31" i="18" s="1"/>
  <c r="E4" i="18"/>
  <c r="E31" i="18" s="1"/>
  <c r="D94" i="17"/>
  <c r="C94" i="17"/>
  <c r="B94" i="17"/>
  <c r="D93" i="17"/>
  <c r="C93" i="17"/>
  <c r="B93" i="17"/>
  <c r="D92" i="17"/>
  <c r="C92" i="17"/>
  <c r="B92" i="17"/>
  <c r="D84" i="17"/>
  <c r="C84" i="17"/>
  <c r="B84" i="17"/>
  <c r="D83" i="17"/>
  <c r="C83" i="17"/>
  <c r="B83" i="17"/>
  <c r="F75" i="17"/>
  <c r="E75" i="17"/>
  <c r="F74" i="17"/>
  <c r="E74" i="17"/>
  <c r="F73" i="17"/>
  <c r="E73" i="17"/>
  <c r="D72" i="17"/>
  <c r="C72" i="17"/>
  <c r="F72" i="17" s="1"/>
  <c r="B72" i="17"/>
  <c r="E72" i="17" s="1"/>
  <c r="F71" i="17"/>
  <c r="E71" i="17"/>
  <c r="F70" i="17"/>
  <c r="E70" i="17"/>
  <c r="F69" i="17"/>
  <c r="E69" i="17"/>
  <c r="F68" i="17"/>
  <c r="E68" i="17"/>
  <c r="F67" i="17"/>
  <c r="E67" i="17"/>
  <c r="F66" i="17"/>
  <c r="E66" i="17"/>
  <c r="F65" i="17"/>
  <c r="E65" i="17"/>
  <c r="D64" i="17"/>
  <c r="C64" i="17"/>
  <c r="F64" i="17" s="1"/>
  <c r="B64" i="17"/>
  <c r="E64" i="17" s="1"/>
  <c r="F62" i="17"/>
  <c r="E62" i="17"/>
  <c r="D61" i="17"/>
  <c r="C61" i="17"/>
  <c r="B61" i="17"/>
  <c r="F60" i="17"/>
  <c r="E60" i="17"/>
  <c r="F59" i="17"/>
  <c r="E59" i="17"/>
  <c r="F58" i="17"/>
  <c r="E58" i="17"/>
  <c r="D54" i="17"/>
  <c r="C54" i="17"/>
  <c r="B54" i="17"/>
  <c r="F53" i="17"/>
  <c r="E53" i="17"/>
  <c r="F52" i="17"/>
  <c r="E52" i="17"/>
  <c r="F51" i="17"/>
  <c r="E51" i="17"/>
  <c r="F50" i="17"/>
  <c r="E50" i="17"/>
  <c r="F49" i="17"/>
  <c r="E49" i="17"/>
  <c r="D48" i="17"/>
  <c r="C48" i="17"/>
  <c r="F48" i="17" s="1"/>
  <c r="B48" i="17"/>
  <c r="E48" i="17" s="1"/>
  <c r="F47" i="17"/>
  <c r="E47" i="17"/>
  <c r="F46" i="17"/>
  <c r="E46" i="17"/>
  <c r="F44" i="17"/>
  <c r="E44" i="17"/>
  <c r="F43" i="17"/>
  <c r="E43" i="17"/>
  <c r="D42" i="17"/>
  <c r="D45" i="17" s="1"/>
  <c r="C42" i="17"/>
  <c r="B42" i="17"/>
  <c r="F41" i="17"/>
  <c r="E41" i="17"/>
  <c r="F40" i="17"/>
  <c r="E40" i="17"/>
  <c r="F39" i="17"/>
  <c r="E39" i="17"/>
  <c r="F37" i="17"/>
  <c r="E37" i="17"/>
  <c r="F35" i="17"/>
  <c r="E35" i="17"/>
  <c r="D34" i="17"/>
  <c r="C34" i="17"/>
  <c r="B34" i="17"/>
  <c r="F33" i="17"/>
  <c r="E33" i="17"/>
  <c r="F32" i="17"/>
  <c r="E32" i="17"/>
  <c r="D30" i="17"/>
  <c r="D79" i="17" s="1"/>
  <c r="C30" i="17"/>
  <c r="C79" i="17" s="1"/>
  <c r="B30" i="17"/>
  <c r="B79" i="17" s="1"/>
  <c r="E29" i="17"/>
  <c r="F25" i="17"/>
  <c r="E25" i="17"/>
  <c r="F22" i="17"/>
  <c r="E22" i="17"/>
  <c r="F21" i="17"/>
  <c r="E21" i="17"/>
  <c r="F20" i="17"/>
  <c r="E20" i="17"/>
  <c r="F19" i="17"/>
  <c r="E19" i="17"/>
  <c r="F18" i="17"/>
  <c r="E18" i="17"/>
  <c r="F16" i="17"/>
  <c r="E16" i="17"/>
  <c r="F15" i="17"/>
  <c r="E15" i="17"/>
  <c r="F14" i="17"/>
  <c r="E14" i="17"/>
  <c r="F13" i="17"/>
  <c r="E13" i="17"/>
  <c r="F12" i="17"/>
  <c r="E12" i="17"/>
  <c r="F11" i="17"/>
  <c r="E11" i="17"/>
  <c r="D9" i="17"/>
  <c r="D86" i="17" s="1"/>
  <c r="C9" i="17"/>
  <c r="B9" i="17"/>
  <c r="F8" i="17"/>
  <c r="E8" i="17"/>
  <c r="D7" i="17"/>
  <c r="C7" i="17"/>
  <c r="B7" i="17"/>
  <c r="F6" i="17"/>
  <c r="E6" i="17"/>
  <c r="F5" i="17"/>
  <c r="E5" i="17"/>
  <c r="F4" i="17"/>
  <c r="F31" i="17" s="1"/>
  <c r="E4" i="17"/>
  <c r="E31" i="17" s="1"/>
  <c r="D94" i="16"/>
  <c r="C94" i="16"/>
  <c r="B94" i="16"/>
  <c r="D93" i="16"/>
  <c r="C93" i="16"/>
  <c r="B93" i="16"/>
  <c r="D92" i="16"/>
  <c r="C92" i="16"/>
  <c r="B92" i="16"/>
  <c r="D84" i="16"/>
  <c r="C84" i="16"/>
  <c r="B84" i="16"/>
  <c r="D83" i="16"/>
  <c r="C83" i="16"/>
  <c r="B83" i="16"/>
  <c r="F75" i="16"/>
  <c r="E75" i="16"/>
  <c r="F74" i="16"/>
  <c r="E74" i="16"/>
  <c r="F73" i="16"/>
  <c r="E73" i="16"/>
  <c r="D72" i="16"/>
  <c r="D72" i="14" s="1"/>
  <c r="C72" i="16"/>
  <c r="B72" i="16"/>
  <c r="F71" i="16"/>
  <c r="E71" i="16"/>
  <c r="F70" i="16"/>
  <c r="E70" i="16"/>
  <c r="F69" i="16"/>
  <c r="E69" i="16"/>
  <c r="F68" i="16"/>
  <c r="E68" i="16"/>
  <c r="F67" i="16"/>
  <c r="E67" i="16"/>
  <c r="F66" i="16"/>
  <c r="E66" i="16"/>
  <c r="F65" i="16"/>
  <c r="E65" i="16"/>
  <c r="D64" i="16"/>
  <c r="D64" i="14" s="1"/>
  <c r="C64" i="16"/>
  <c r="B64" i="16"/>
  <c r="F62" i="16"/>
  <c r="E62" i="16"/>
  <c r="D61" i="16"/>
  <c r="C61" i="16"/>
  <c r="B61" i="16"/>
  <c r="F60" i="16"/>
  <c r="E60" i="16"/>
  <c r="F59" i="16"/>
  <c r="E59" i="16"/>
  <c r="F58" i="16"/>
  <c r="E58" i="16"/>
  <c r="D54" i="16"/>
  <c r="C54" i="16"/>
  <c r="B54" i="16"/>
  <c r="F53" i="16"/>
  <c r="E53" i="16"/>
  <c r="F52" i="16"/>
  <c r="E52" i="16"/>
  <c r="F51" i="16"/>
  <c r="E51" i="16"/>
  <c r="F50" i="16"/>
  <c r="E50" i="16"/>
  <c r="F49" i="16"/>
  <c r="E49" i="16"/>
  <c r="D48" i="16"/>
  <c r="D48" i="14" s="1"/>
  <c r="C48" i="16"/>
  <c r="B48" i="16"/>
  <c r="F47" i="16"/>
  <c r="E47" i="16"/>
  <c r="F46" i="16"/>
  <c r="E46" i="16"/>
  <c r="F44" i="16"/>
  <c r="E44" i="16"/>
  <c r="F43" i="16"/>
  <c r="E43" i="16"/>
  <c r="D42" i="16"/>
  <c r="D45" i="16" s="1"/>
  <c r="C42" i="16"/>
  <c r="B42" i="16"/>
  <c r="F41" i="16"/>
  <c r="E41" i="16"/>
  <c r="F40" i="16"/>
  <c r="E40" i="16"/>
  <c r="F39" i="16"/>
  <c r="E39" i="16"/>
  <c r="F37" i="16"/>
  <c r="E37" i="16"/>
  <c r="F35" i="16"/>
  <c r="E35" i="16"/>
  <c r="D34" i="16"/>
  <c r="C34" i="16"/>
  <c r="B34" i="16"/>
  <c r="F33" i="16"/>
  <c r="E33" i="16"/>
  <c r="F32" i="16"/>
  <c r="E32" i="16"/>
  <c r="D30" i="16"/>
  <c r="D79" i="16" s="1"/>
  <c r="C30" i="16"/>
  <c r="C79" i="16" s="1"/>
  <c r="B30" i="16"/>
  <c r="B79" i="16" s="1"/>
  <c r="E29" i="16"/>
  <c r="F25" i="16"/>
  <c r="E25" i="16"/>
  <c r="F22" i="16"/>
  <c r="E22" i="16"/>
  <c r="F21" i="16"/>
  <c r="E21" i="16"/>
  <c r="F20" i="16"/>
  <c r="E20" i="16"/>
  <c r="F19" i="16"/>
  <c r="E19" i="16"/>
  <c r="F18" i="16"/>
  <c r="E18" i="16"/>
  <c r="F16" i="16"/>
  <c r="E16" i="16"/>
  <c r="F15" i="16"/>
  <c r="E15" i="16"/>
  <c r="F14" i="16"/>
  <c r="E14" i="16"/>
  <c r="F13" i="16"/>
  <c r="E13" i="16"/>
  <c r="F12" i="16"/>
  <c r="E12" i="16"/>
  <c r="F11" i="16"/>
  <c r="E11" i="16"/>
  <c r="D9" i="16"/>
  <c r="D86" i="16" s="1"/>
  <c r="C9" i="16"/>
  <c r="B9" i="16"/>
  <c r="F8" i="16"/>
  <c r="E8" i="16"/>
  <c r="D7" i="16"/>
  <c r="C7" i="16"/>
  <c r="B7" i="16"/>
  <c r="F6" i="16"/>
  <c r="E6" i="16"/>
  <c r="F5" i="16"/>
  <c r="E5" i="16"/>
  <c r="F4" i="16"/>
  <c r="F31" i="16" s="1"/>
  <c r="E4" i="16"/>
  <c r="E31" i="16" s="1"/>
  <c r="D94" i="15"/>
  <c r="C94" i="15"/>
  <c r="B94" i="15"/>
  <c r="D93" i="15"/>
  <c r="C93" i="15"/>
  <c r="B93" i="15"/>
  <c r="D92" i="15"/>
  <c r="C92" i="15"/>
  <c r="B92" i="15"/>
  <c r="D84" i="15"/>
  <c r="C84" i="15"/>
  <c r="B84" i="15"/>
  <c r="D83" i="15"/>
  <c r="C83" i="15"/>
  <c r="B83" i="15"/>
  <c r="F75" i="15"/>
  <c r="E75" i="15"/>
  <c r="F74" i="15"/>
  <c r="E74" i="15"/>
  <c r="F73" i="15"/>
  <c r="E73" i="15"/>
  <c r="D72" i="15"/>
  <c r="C72" i="15"/>
  <c r="F72" i="15" s="1"/>
  <c r="B72" i="15"/>
  <c r="E72" i="15" s="1"/>
  <c r="F71" i="15"/>
  <c r="E71" i="15"/>
  <c r="F70" i="15"/>
  <c r="E70" i="15"/>
  <c r="F69" i="15"/>
  <c r="E69" i="15"/>
  <c r="F68" i="15"/>
  <c r="E68" i="15"/>
  <c r="F67" i="15"/>
  <c r="E67" i="15"/>
  <c r="F66" i="15"/>
  <c r="E66" i="15"/>
  <c r="F65" i="15"/>
  <c r="E65" i="15"/>
  <c r="D64" i="15"/>
  <c r="C64" i="15"/>
  <c r="F64" i="15" s="1"/>
  <c r="B64" i="15"/>
  <c r="E64" i="15" s="1"/>
  <c r="F62" i="15"/>
  <c r="E62" i="15"/>
  <c r="D61" i="15"/>
  <c r="C61" i="15"/>
  <c r="B61" i="15"/>
  <c r="F60" i="15"/>
  <c r="E60" i="15"/>
  <c r="F59" i="15"/>
  <c r="E59" i="15"/>
  <c r="F58" i="15"/>
  <c r="E58" i="15"/>
  <c r="D54" i="15"/>
  <c r="C54" i="15"/>
  <c r="B54" i="15"/>
  <c r="F53" i="15"/>
  <c r="E53" i="15"/>
  <c r="F52" i="15"/>
  <c r="E52" i="15"/>
  <c r="F51" i="15"/>
  <c r="E51" i="15"/>
  <c r="F50" i="15"/>
  <c r="E50" i="15"/>
  <c r="F49" i="15"/>
  <c r="E49" i="15"/>
  <c r="D48" i="15"/>
  <c r="C48" i="15"/>
  <c r="F48" i="15" s="1"/>
  <c r="B48" i="15"/>
  <c r="E48" i="15" s="1"/>
  <c r="F47" i="15"/>
  <c r="E47" i="15"/>
  <c r="F46" i="15"/>
  <c r="E46" i="15"/>
  <c r="F44" i="15"/>
  <c r="E44" i="15"/>
  <c r="F43" i="15"/>
  <c r="E43" i="15"/>
  <c r="D42" i="15"/>
  <c r="C42" i="15"/>
  <c r="B42" i="15"/>
  <c r="F41" i="15"/>
  <c r="E41" i="15"/>
  <c r="F40" i="15"/>
  <c r="E40" i="15"/>
  <c r="F39" i="15"/>
  <c r="E39" i="15"/>
  <c r="F37" i="15"/>
  <c r="E37" i="15"/>
  <c r="F35" i="15"/>
  <c r="E35" i="15"/>
  <c r="D34" i="15"/>
  <c r="C34" i="15"/>
  <c r="B34" i="15"/>
  <c r="F33" i="15"/>
  <c r="E33" i="15"/>
  <c r="F32" i="15"/>
  <c r="E32" i="15"/>
  <c r="F31" i="15"/>
  <c r="E31" i="15"/>
  <c r="D30" i="15"/>
  <c r="D79" i="15" s="1"/>
  <c r="C30" i="15"/>
  <c r="C79" i="15" s="1"/>
  <c r="B30" i="15"/>
  <c r="B79" i="15" s="1"/>
  <c r="E29" i="15"/>
  <c r="F25" i="15"/>
  <c r="E25" i="15"/>
  <c r="F22" i="15"/>
  <c r="E22" i="15"/>
  <c r="F21" i="15"/>
  <c r="E21" i="15"/>
  <c r="F20" i="15"/>
  <c r="E20" i="15"/>
  <c r="F19" i="15"/>
  <c r="E19" i="15"/>
  <c r="F18" i="15"/>
  <c r="E18" i="15"/>
  <c r="D17" i="15"/>
  <c r="C17" i="15"/>
  <c r="B17" i="15"/>
  <c r="F16" i="15"/>
  <c r="E16" i="15"/>
  <c r="F15" i="15"/>
  <c r="E15" i="15"/>
  <c r="F14" i="15"/>
  <c r="E14" i="15"/>
  <c r="F13" i="15"/>
  <c r="E13" i="15"/>
  <c r="F12" i="15"/>
  <c r="E12" i="15"/>
  <c r="F11" i="15"/>
  <c r="E11" i="15"/>
  <c r="D9" i="15"/>
  <c r="C9" i="15"/>
  <c r="B9" i="15"/>
  <c r="F8" i="15"/>
  <c r="E8" i="15"/>
  <c r="D7" i="15"/>
  <c r="C7" i="15"/>
  <c r="B7" i="15"/>
  <c r="F6" i="15"/>
  <c r="E6" i="15"/>
  <c r="F5" i="15"/>
  <c r="E5" i="15"/>
  <c r="F4" i="15"/>
  <c r="E4" i="15"/>
  <c r="D84" i="14"/>
  <c r="C84" i="14"/>
  <c r="B84" i="14"/>
  <c r="D83" i="14"/>
  <c r="C83" i="14"/>
  <c r="B83" i="14"/>
  <c r="D75" i="14"/>
  <c r="C75" i="14"/>
  <c r="F75" i="14" s="1"/>
  <c r="B75" i="14"/>
  <c r="E75" i="14" s="1"/>
  <c r="D74" i="14"/>
  <c r="D92" i="14" s="1"/>
  <c r="C74" i="14"/>
  <c r="B74" i="14"/>
  <c r="D73" i="14"/>
  <c r="C73" i="14"/>
  <c r="F73" i="14" s="1"/>
  <c r="B73" i="14"/>
  <c r="E73" i="14" s="1"/>
  <c r="D71" i="14"/>
  <c r="C71" i="14"/>
  <c r="F71" i="14" s="1"/>
  <c r="B71" i="14"/>
  <c r="E71" i="14" s="1"/>
  <c r="D70" i="14"/>
  <c r="C70" i="14"/>
  <c r="F70" i="14" s="1"/>
  <c r="B70" i="14"/>
  <c r="E70" i="14" s="1"/>
  <c r="D69" i="14"/>
  <c r="C69" i="14"/>
  <c r="F69" i="14" s="1"/>
  <c r="B69" i="14"/>
  <c r="E69" i="14" s="1"/>
  <c r="D68" i="14"/>
  <c r="C68" i="14"/>
  <c r="F68" i="14" s="1"/>
  <c r="B68" i="14"/>
  <c r="E68" i="14" s="1"/>
  <c r="D67" i="14"/>
  <c r="C67" i="14"/>
  <c r="F67" i="14" s="1"/>
  <c r="B67" i="14"/>
  <c r="E67" i="14" s="1"/>
  <c r="D66" i="14"/>
  <c r="C66" i="14"/>
  <c r="F66" i="14" s="1"/>
  <c r="B66" i="14"/>
  <c r="E66" i="14" s="1"/>
  <c r="D65" i="14"/>
  <c r="D94" i="14" s="1"/>
  <c r="C65" i="14"/>
  <c r="B65" i="14"/>
  <c r="D62" i="14"/>
  <c r="C62" i="14"/>
  <c r="F62" i="14" s="1"/>
  <c r="B62" i="14"/>
  <c r="E62" i="14" s="1"/>
  <c r="D60" i="14"/>
  <c r="C60" i="14"/>
  <c r="F60" i="14" s="1"/>
  <c r="B60" i="14"/>
  <c r="E60" i="14" s="1"/>
  <c r="D59" i="14"/>
  <c r="C59" i="14"/>
  <c r="F59" i="14" s="1"/>
  <c r="B59" i="14"/>
  <c r="E59" i="14" s="1"/>
  <c r="F58" i="14"/>
  <c r="E58" i="14"/>
  <c r="D53" i="14"/>
  <c r="C53" i="14"/>
  <c r="F53" i="14" s="1"/>
  <c r="B53" i="14"/>
  <c r="E53" i="14" s="1"/>
  <c r="D52" i="14"/>
  <c r="D93" i="14" s="1"/>
  <c r="C52" i="14"/>
  <c r="B52" i="14"/>
  <c r="D51" i="14"/>
  <c r="C51" i="14"/>
  <c r="F51" i="14" s="1"/>
  <c r="B51" i="14"/>
  <c r="E51" i="14" s="1"/>
  <c r="D50" i="14"/>
  <c r="C50" i="14"/>
  <c r="F50" i="14" s="1"/>
  <c r="B50" i="14"/>
  <c r="E50" i="14" s="1"/>
  <c r="D49" i="14"/>
  <c r="C49" i="14"/>
  <c r="F49" i="14" s="1"/>
  <c r="B49" i="14"/>
  <c r="E49" i="14" s="1"/>
  <c r="D47" i="14"/>
  <c r="C47" i="14"/>
  <c r="F47" i="14" s="1"/>
  <c r="B47" i="14"/>
  <c r="E47" i="14" s="1"/>
  <c r="D46" i="14"/>
  <c r="C46" i="14"/>
  <c r="F46" i="14" s="1"/>
  <c r="B46" i="14"/>
  <c r="E46" i="14" s="1"/>
  <c r="D44" i="14"/>
  <c r="C44" i="14"/>
  <c r="F44" i="14" s="1"/>
  <c r="B44" i="14"/>
  <c r="E44" i="14" s="1"/>
  <c r="D43" i="14"/>
  <c r="C43" i="14"/>
  <c r="F43" i="14" s="1"/>
  <c r="B43" i="14"/>
  <c r="E43" i="14" s="1"/>
  <c r="D41" i="14"/>
  <c r="C41" i="14"/>
  <c r="F41" i="14" s="1"/>
  <c r="B41" i="14"/>
  <c r="E41" i="14" s="1"/>
  <c r="D40" i="14"/>
  <c r="C40" i="14"/>
  <c r="F40" i="14" s="1"/>
  <c r="B40" i="14"/>
  <c r="E40" i="14" s="1"/>
  <c r="D39" i="14"/>
  <c r="C39" i="14"/>
  <c r="F39" i="14" s="1"/>
  <c r="B39" i="14"/>
  <c r="E39" i="14" s="1"/>
  <c r="D37" i="14"/>
  <c r="C37" i="14"/>
  <c r="F37" i="14" s="1"/>
  <c r="B37" i="14"/>
  <c r="E37" i="14" s="1"/>
  <c r="D35" i="14"/>
  <c r="C35" i="14"/>
  <c r="F35" i="14" s="1"/>
  <c r="B35" i="14"/>
  <c r="E35" i="14" s="1"/>
  <c r="D33" i="14"/>
  <c r="C33" i="14"/>
  <c r="F33" i="14" s="1"/>
  <c r="B33" i="14"/>
  <c r="E33" i="14" s="1"/>
  <c r="D32" i="14"/>
  <c r="C32" i="14"/>
  <c r="F32" i="14" s="1"/>
  <c r="B32" i="14"/>
  <c r="E32" i="14" s="1"/>
  <c r="E29" i="14"/>
  <c r="D25" i="14"/>
  <c r="C25" i="14"/>
  <c r="F25" i="14" s="1"/>
  <c r="B25" i="14"/>
  <c r="E25" i="14" s="1"/>
  <c r="D22" i="14"/>
  <c r="C22" i="14"/>
  <c r="F22" i="14" s="1"/>
  <c r="B22" i="14"/>
  <c r="E22" i="14" s="1"/>
  <c r="D21" i="14"/>
  <c r="D4" i="8" s="1"/>
  <c r="C21" i="14"/>
  <c r="B21" i="14"/>
  <c r="E21" i="14" s="1"/>
  <c r="D20" i="14"/>
  <c r="C20" i="14"/>
  <c r="F20" i="14" s="1"/>
  <c r="B20" i="14"/>
  <c r="E20" i="14" s="1"/>
  <c r="D19" i="14"/>
  <c r="C19" i="14"/>
  <c r="F19" i="14" s="1"/>
  <c r="B19" i="14"/>
  <c r="E19" i="14" s="1"/>
  <c r="D18" i="14"/>
  <c r="C18" i="14"/>
  <c r="F18" i="14" s="1"/>
  <c r="B18" i="14"/>
  <c r="E18" i="14" s="1"/>
  <c r="D16" i="14"/>
  <c r="C16" i="14"/>
  <c r="F16" i="14" s="1"/>
  <c r="B16" i="14"/>
  <c r="E16" i="14" s="1"/>
  <c r="D15" i="14"/>
  <c r="C15" i="14"/>
  <c r="F15" i="14" s="1"/>
  <c r="B15" i="14"/>
  <c r="E15" i="14" s="1"/>
  <c r="D14" i="14"/>
  <c r="C14" i="14"/>
  <c r="F14" i="14" s="1"/>
  <c r="B14" i="14"/>
  <c r="E14" i="14" s="1"/>
  <c r="D13" i="14"/>
  <c r="C13" i="14"/>
  <c r="F13" i="14" s="1"/>
  <c r="B13" i="14"/>
  <c r="E13" i="14" s="1"/>
  <c r="D12" i="14"/>
  <c r="C12" i="14"/>
  <c r="F12" i="14" s="1"/>
  <c r="B12" i="14"/>
  <c r="E12" i="14" s="1"/>
  <c r="D11" i="14"/>
  <c r="C11" i="14"/>
  <c r="F11" i="14" s="1"/>
  <c r="B11" i="14"/>
  <c r="E11" i="14" s="1"/>
  <c r="D8" i="14"/>
  <c r="C8" i="14"/>
  <c r="F8" i="14" s="1"/>
  <c r="B8" i="14"/>
  <c r="E8" i="14" s="1"/>
  <c r="D6" i="14"/>
  <c r="C6" i="14"/>
  <c r="F6" i="14" s="1"/>
  <c r="B6" i="14"/>
  <c r="E6" i="14" s="1"/>
  <c r="D5" i="14"/>
  <c r="C5" i="14"/>
  <c r="F5" i="14" s="1"/>
  <c r="B5" i="14"/>
  <c r="E5" i="14" s="1"/>
  <c r="D4" i="14"/>
  <c r="C4" i="14"/>
  <c r="B4" i="14"/>
  <c r="B30" i="14" s="1"/>
  <c r="B79" i="14" s="1"/>
  <c r="D3" i="14"/>
  <c r="C3" i="14"/>
  <c r="B3" i="14"/>
  <c r="C20" i="13"/>
  <c r="C19" i="13"/>
  <c r="C18" i="13"/>
  <c r="C17" i="13"/>
  <c r="C16" i="13"/>
  <c r="J15" i="13"/>
  <c r="C15" i="13"/>
  <c r="K14" i="13"/>
  <c r="F14" i="13"/>
  <c r="K13" i="13"/>
  <c r="B13" i="13"/>
  <c r="K12" i="13"/>
  <c r="C12" i="13"/>
  <c r="K11" i="13"/>
  <c r="C11" i="13"/>
  <c r="K10" i="13"/>
  <c r="C10" i="13"/>
  <c r="K9" i="13"/>
  <c r="C9" i="13"/>
  <c r="K8" i="13"/>
  <c r="C8" i="13"/>
  <c r="K7" i="13"/>
  <c r="C7" i="13"/>
  <c r="K6" i="13"/>
  <c r="C6" i="13"/>
  <c r="K5" i="13"/>
  <c r="C5" i="13"/>
  <c r="M22" i="11"/>
  <c r="M21" i="11"/>
  <c r="M23" i="11" s="1"/>
  <c r="M20" i="11"/>
  <c r="K16" i="11"/>
  <c r="J16" i="11"/>
  <c r="I16" i="11"/>
  <c r="L16" i="11" s="1"/>
  <c r="M16" i="11" s="1"/>
  <c r="H16" i="11"/>
  <c r="G16" i="11"/>
  <c r="F16" i="11"/>
  <c r="E16" i="11"/>
  <c r="D16" i="11"/>
  <c r="C16" i="11"/>
  <c r="B16" i="11"/>
  <c r="K15" i="11"/>
  <c r="J15" i="11"/>
  <c r="I15" i="11"/>
  <c r="L15" i="11" s="1"/>
  <c r="M15" i="11" s="1"/>
  <c r="H15" i="11"/>
  <c r="G15" i="11"/>
  <c r="F15" i="11"/>
  <c r="E15" i="11"/>
  <c r="D15" i="11"/>
  <c r="C15" i="11"/>
  <c r="B15" i="11"/>
  <c r="K14" i="11"/>
  <c r="J14" i="11"/>
  <c r="I14" i="11"/>
  <c r="L14" i="11" s="1"/>
  <c r="M14" i="11" s="1"/>
  <c r="H14" i="11"/>
  <c r="G14" i="11"/>
  <c r="F14" i="11"/>
  <c r="E14" i="11"/>
  <c r="D14" i="11"/>
  <c r="C14" i="11"/>
  <c r="B14" i="11"/>
  <c r="K13" i="11"/>
  <c r="J13" i="11"/>
  <c r="I13" i="11"/>
  <c r="L13" i="11" s="1"/>
  <c r="M13" i="11" s="1"/>
  <c r="H13" i="11"/>
  <c r="G13" i="11"/>
  <c r="F13" i="11"/>
  <c r="E13" i="11"/>
  <c r="D13" i="11"/>
  <c r="C13" i="11"/>
  <c r="B13" i="11"/>
  <c r="K12" i="11"/>
  <c r="J12" i="11"/>
  <c r="I12" i="11"/>
  <c r="L12" i="11" s="1"/>
  <c r="M12" i="11" s="1"/>
  <c r="H12" i="11"/>
  <c r="G12" i="11"/>
  <c r="F12" i="11"/>
  <c r="E12" i="11"/>
  <c r="D12" i="11"/>
  <c r="C12" i="11"/>
  <c r="B12" i="11"/>
  <c r="L11" i="11"/>
  <c r="M11" i="11" s="1"/>
  <c r="K11" i="11"/>
  <c r="J11" i="11"/>
  <c r="I11" i="11"/>
  <c r="H11" i="11"/>
  <c r="G11" i="11"/>
  <c r="F11" i="11"/>
  <c r="E11" i="11"/>
  <c r="D11" i="11"/>
  <c r="C11" i="11"/>
  <c r="B11" i="11"/>
  <c r="K10" i="11"/>
  <c r="J10" i="11"/>
  <c r="I10" i="11"/>
  <c r="L10" i="11" s="1"/>
  <c r="M10" i="11" s="1"/>
  <c r="H10" i="11"/>
  <c r="G10" i="11"/>
  <c r="F10" i="11"/>
  <c r="E10" i="11"/>
  <c r="D10" i="11"/>
  <c r="C10" i="11"/>
  <c r="B10" i="11"/>
  <c r="K9" i="11"/>
  <c r="J9" i="11"/>
  <c r="I9" i="11"/>
  <c r="L9" i="11" s="1"/>
  <c r="M9" i="11" s="1"/>
  <c r="H9" i="11"/>
  <c r="G9" i="11"/>
  <c r="F9" i="11"/>
  <c r="E9" i="11"/>
  <c r="D9" i="11"/>
  <c r="C9" i="11"/>
  <c r="B9" i="11"/>
  <c r="K8" i="11"/>
  <c r="J8" i="11"/>
  <c r="I8" i="11"/>
  <c r="L8" i="11" s="1"/>
  <c r="M8" i="11" s="1"/>
  <c r="H8" i="11"/>
  <c r="G8" i="11"/>
  <c r="F8" i="11"/>
  <c r="E8" i="11"/>
  <c r="D8" i="11"/>
  <c r="C8" i="11"/>
  <c r="B8" i="11"/>
  <c r="K7" i="11"/>
  <c r="J7" i="11"/>
  <c r="I7" i="11"/>
  <c r="L7" i="11" s="1"/>
  <c r="M7" i="11" s="1"/>
  <c r="H7" i="11"/>
  <c r="G7" i="11"/>
  <c r="F7" i="11"/>
  <c r="E7" i="11"/>
  <c r="D7" i="11"/>
  <c r="C7" i="11"/>
  <c r="B7" i="11"/>
  <c r="K6" i="11"/>
  <c r="J6" i="11"/>
  <c r="I6" i="11"/>
  <c r="L6" i="11" s="1"/>
  <c r="M6" i="11" s="1"/>
  <c r="H6" i="11"/>
  <c r="G6" i="11"/>
  <c r="F6" i="11"/>
  <c r="E6" i="11"/>
  <c r="D6" i="11"/>
  <c r="C6" i="11"/>
  <c r="B6" i="11"/>
  <c r="K5" i="11"/>
  <c r="J5" i="11"/>
  <c r="I5" i="11"/>
  <c r="H5" i="11"/>
  <c r="H17" i="11" s="1"/>
  <c r="G5" i="11"/>
  <c r="G17" i="11" s="1"/>
  <c r="F5" i="11"/>
  <c r="F17" i="11" s="1"/>
  <c r="E5" i="11"/>
  <c r="E17" i="11" s="1"/>
  <c r="D5" i="11"/>
  <c r="D17" i="11" s="1"/>
  <c r="D18" i="11" s="1"/>
  <c r="C5" i="11"/>
  <c r="C17" i="11" s="1"/>
  <c r="C18" i="11" s="1"/>
  <c r="B5" i="11"/>
  <c r="B17" i="11" s="1"/>
  <c r="B18" i="11" s="1"/>
  <c r="A5" i="11"/>
  <c r="A6" i="11" s="1"/>
  <c r="A7" i="11" s="1"/>
  <c r="A8" i="11" s="1"/>
  <c r="A9" i="11" s="1"/>
  <c r="A10" i="11" s="1"/>
  <c r="A11" i="11" s="1"/>
  <c r="A12" i="11" s="1"/>
  <c r="A13" i="11" s="1"/>
  <c r="A14" i="11" s="1"/>
  <c r="A15" i="11" s="1"/>
  <c r="A16" i="11" s="1"/>
  <c r="C26" i="10"/>
  <c r="G24" i="10"/>
  <c r="C24" i="10"/>
  <c r="G22" i="10"/>
  <c r="G17" i="10"/>
  <c r="G19" i="10" s="1"/>
  <c r="C15" i="10"/>
  <c r="C19" i="10" s="1"/>
  <c r="C21" i="10" s="1"/>
  <c r="G9" i="10"/>
  <c r="G10" i="10" s="1"/>
  <c r="G11" i="10" s="1"/>
  <c r="C9" i="10"/>
  <c r="C7" i="10"/>
  <c r="C4" i="10"/>
  <c r="F20" i="9"/>
  <c r="E18" i="9"/>
  <c r="D18" i="9"/>
  <c r="C18" i="9"/>
  <c r="F18" i="9" s="1"/>
  <c r="E17" i="9"/>
  <c r="E19" i="9" s="1"/>
  <c r="D17" i="9"/>
  <c r="D19" i="9" s="1"/>
  <c r="C17" i="9"/>
  <c r="C19" i="9" s="1"/>
  <c r="F19" i="9" s="1"/>
  <c r="F21" i="9" s="1"/>
  <c r="M24" i="2" s="1"/>
  <c r="O24" i="2" s="1"/>
  <c r="P24" i="2" s="1"/>
  <c r="F13" i="9"/>
  <c r="F11" i="9"/>
  <c r="F10" i="9"/>
  <c r="E21" i="8"/>
  <c r="E19" i="8"/>
  <c r="E12" i="8"/>
  <c r="E11" i="8"/>
  <c r="E10" i="8"/>
  <c r="E13" i="8" s="1"/>
  <c r="E14" i="8" s="1"/>
  <c r="E7" i="8"/>
  <c r="D6" i="8"/>
  <c r="C6" i="8"/>
  <c r="D5" i="8"/>
  <c r="C5" i="8"/>
  <c r="E21" i="7"/>
  <c r="E19" i="7"/>
  <c r="E12" i="7"/>
  <c r="E11" i="7"/>
  <c r="E10" i="7"/>
  <c r="E13" i="7" s="1"/>
  <c r="E7" i="7"/>
  <c r="E6" i="7"/>
  <c r="E5" i="7"/>
  <c r="E4" i="7"/>
  <c r="E3" i="7"/>
  <c r="E8" i="7" s="1"/>
  <c r="E8" i="8" s="1"/>
  <c r="H155" i="6"/>
  <c r="H156" i="6" s="1"/>
  <c r="W140" i="6" s="1"/>
  <c r="G155" i="6"/>
  <c r="G156" i="6" s="1"/>
  <c r="V140" i="6" s="1"/>
  <c r="F155" i="6"/>
  <c r="E155" i="6"/>
  <c r="D155" i="6"/>
  <c r="D156" i="6" s="1"/>
  <c r="C155" i="6"/>
  <c r="C156" i="6" s="1"/>
  <c r="B155" i="6"/>
  <c r="B156" i="6" s="1"/>
  <c r="T140" i="6" s="1"/>
  <c r="M154" i="6"/>
  <c r="M153" i="6"/>
  <c r="M152" i="6"/>
  <c r="M151" i="6"/>
  <c r="M150" i="6"/>
  <c r="M149" i="6"/>
  <c r="M148" i="6"/>
  <c r="M147" i="6"/>
  <c r="M146" i="6"/>
  <c r="M145" i="6"/>
  <c r="M144" i="6"/>
  <c r="A144" i="6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M143" i="6"/>
  <c r="M155" i="6" s="1"/>
  <c r="S140" i="6"/>
  <c r="R140" i="6"/>
  <c r="O140" i="6"/>
  <c r="H137" i="6"/>
  <c r="H138" i="6" s="1"/>
  <c r="W122" i="6" s="1"/>
  <c r="G137" i="6"/>
  <c r="G138" i="6" s="1"/>
  <c r="V122" i="6" s="1"/>
  <c r="F137" i="6"/>
  <c r="E137" i="6"/>
  <c r="D137" i="6"/>
  <c r="D138" i="6" s="1"/>
  <c r="C137" i="6"/>
  <c r="C138" i="6" s="1"/>
  <c r="B137" i="6"/>
  <c r="B138" i="6" s="1"/>
  <c r="T122" i="6" s="1"/>
  <c r="M136" i="6"/>
  <c r="M135" i="6"/>
  <c r="M134" i="6"/>
  <c r="M133" i="6"/>
  <c r="M132" i="6"/>
  <c r="M131" i="6"/>
  <c r="M130" i="6"/>
  <c r="M129" i="6"/>
  <c r="M128" i="6"/>
  <c r="M127" i="6"/>
  <c r="M126" i="6"/>
  <c r="A126" i="6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M125" i="6"/>
  <c r="M137" i="6" s="1"/>
  <c r="S122" i="6"/>
  <c r="R122" i="6"/>
  <c r="O122" i="6"/>
  <c r="L119" i="6"/>
  <c r="M119" i="6" s="1"/>
  <c r="X104" i="6" s="1"/>
  <c r="H119" i="6"/>
  <c r="H120" i="6" s="1"/>
  <c r="W104" i="6" s="1"/>
  <c r="G119" i="6"/>
  <c r="G120" i="6" s="1"/>
  <c r="V104" i="6" s="1"/>
  <c r="F119" i="6"/>
  <c r="E119" i="6"/>
  <c r="D119" i="6"/>
  <c r="D120" i="6" s="1"/>
  <c r="C119" i="6"/>
  <c r="C120" i="6" s="1"/>
  <c r="B119" i="6"/>
  <c r="B120" i="6" s="1"/>
  <c r="T104" i="6" s="1"/>
  <c r="L118" i="6"/>
  <c r="M118" i="6" s="1"/>
  <c r="L117" i="6"/>
  <c r="M117" i="6" s="1"/>
  <c r="L116" i="6"/>
  <c r="M116" i="6" s="1"/>
  <c r="L115" i="6"/>
  <c r="M115" i="6" s="1"/>
  <c r="L114" i="6"/>
  <c r="M114" i="6" s="1"/>
  <c r="L113" i="6"/>
  <c r="M113" i="6" s="1"/>
  <c r="L112" i="6"/>
  <c r="M112" i="6" s="1"/>
  <c r="L111" i="6"/>
  <c r="M111" i="6" s="1"/>
  <c r="L110" i="6"/>
  <c r="M110" i="6" s="1"/>
  <c r="L109" i="6"/>
  <c r="M109" i="6" s="1"/>
  <c r="L108" i="6"/>
  <c r="M108" i="6" s="1"/>
  <c r="A108" i="6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L107" i="6"/>
  <c r="M107" i="6" s="1"/>
  <c r="U104" i="6"/>
  <c r="S104" i="6"/>
  <c r="R104" i="6"/>
  <c r="O104" i="6"/>
  <c r="L101" i="6"/>
  <c r="M101" i="6" s="1"/>
  <c r="X86" i="6" s="1"/>
  <c r="H101" i="6"/>
  <c r="H102" i="6" s="1"/>
  <c r="W86" i="6" s="1"/>
  <c r="G101" i="6"/>
  <c r="G102" i="6" s="1"/>
  <c r="V86" i="6" s="1"/>
  <c r="F101" i="6"/>
  <c r="E101" i="6"/>
  <c r="D101" i="6"/>
  <c r="D102" i="6" s="1"/>
  <c r="C101" i="6"/>
  <c r="C102" i="6" s="1"/>
  <c r="B101" i="6"/>
  <c r="B102" i="6" s="1"/>
  <c r="T86" i="6" s="1"/>
  <c r="L100" i="6"/>
  <c r="M100" i="6" s="1"/>
  <c r="L99" i="6"/>
  <c r="M99" i="6" s="1"/>
  <c r="L98" i="6"/>
  <c r="M98" i="6" s="1"/>
  <c r="L97" i="6"/>
  <c r="M97" i="6" s="1"/>
  <c r="L96" i="6"/>
  <c r="M96" i="6" s="1"/>
  <c r="L95" i="6"/>
  <c r="M95" i="6" s="1"/>
  <c r="L94" i="6"/>
  <c r="M94" i="6" s="1"/>
  <c r="L93" i="6"/>
  <c r="M93" i="6" s="1"/>
  <c r="L92" i="6"/>
  <c r="M92" i="6" s="1"/>
  <c r="L91" i="6"/>
  <c r="M91" i="6" s="1"/>
  <c r="L90" i="6"/>
  <c r="M90" i="6" s="1"/>
  <c r="A90" i="6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L89" i="6"/>
  <c r="M89" i="6" s="1"/>
  <c r="U86" i="6"/>
  <c r="S86" i="6"/>
  <c r="R86" i="6"/>
  <c r="O86" i="6"/>
  <c r="L83" i="6"/>
  <c r="H83" i="6"/>
  <c r="H84" i="6" s="1"/>
  <c r="W68" i="6" s="1"/>
  <c r="G83" i="6"/>
  <c r="G84" i="6" s="1"/>
  <c r="V68" i="6" s="1"/>
  <c r="F83" i="6"/>
  <c r="E83" i="6"/>
  <c r="D83" i="6"/>
  <c r="D84" i="6" s="1"/>
  <c r="C83" i="6"/>
  <c r="C84" i="6" s="1"/>
  <c r="B83" i="6"/>
  <c r="B84" i="6" s="1"/>
  <c r="T68" i="6" s="1"/>
  <c r="L82" i="6"/>
  <c r="M82" i="6" s="1"/>
  <c r="L81" i="6"/>
  <c r="L80" i="6"/>
  <c r="M80" i="6" s="1"/>
  <c r="L79" i="6"/>
  <c r="M79" i="6" s="1"/>
  <c r="L78" i="6"/>
  <c r="M78" i="6" s="1"/>
  <c r="L77" i="6"/>
  <c r="M77" i="6" s="1"/>
  <c r="L76" i="6"/>
  <c r="M76" i="6" s="1"/>
  <c r="L75" i="6"/>
  <c r="M75" i="6" s="1"/>
  <c r="L74" i="6"/>
  <c r="M74" i="6" s="1"/>
  <c r="L73" i="6"/>
  <c r="M73" i="6" s="1"/>
  <c r="L72" i="6"/>
  <c r="M72" i="6" s="1"/>
  <c r="A72" i="6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L71" i="6"/>
  <c r="M71" i="6" s="1"/>
  <c r="S68" i="6"/>
  <c r="R68" i="6"/>
  <c r="O68" i="6"/>
  <c r="L65" i="6"/>
  <c r="M65" i="6" s="1"/>
  <c r="X50" i="6" s="1"/>
  <c r="H65" i="6"/>
  <c r="G65" i="6"/>
  <c r="G66" i="6" s="1"/>
  <c r="V50" i="6" s="1"/>
  <c r="F65" i="6"/>
  <c r="E65" i="6"/>
  <c r="D65" i="6"/>
  <c r="D66" i="6" s="1"/>
  <c r="C65" i="6"/>
  <c r="C66" i="6" s="1"/>
  <c r="B65" i="6"/>
  <c r="B66" i="6" s="1"/>
  <c r="T50" i="6" s="1"/>
  <c r="L64" i="6"/>
  <c r="M64" i="6" s="1"/>
  <c r="L63" i="6"/>
  <c r="M63" i="6" s="1"/>
  <c r="L62" i="6"/>
  <c r="M62" i="6" s="1"/>
  <c r="L61" i="6"/>
  <c r="M61" i="6" s="1"/>
  <c r="L60" i="6"/>
  <c r="M60" i="6" s="1"/>
  <c r="L59" i="6"/>
  <c r="M59" i="6" s="1"/>
  <c r="L58" i="6"/>
  <c r="M58" i="6" s="1"/>
  <c r="L57" i="6"/>
  <c r="M57" i="6" s="1"/>
  <c r="L56" i="6"/>
  <c r="M56" i="6" s="1"/>
  <c r="L55" i="6"/>
  <c r="M55" i="6" s="1"/>
  <c r="L54" i="6"/>
  <c r="M54" i="6" s="1"/>
  <c r="A54" i="6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L53" i="6"/>
  <c r="M53" i="6" s="1"/>
  <c r="U50" i="6"/>
  <c r="S50" i="6"/>
  <c r="R50" i="6"/>
  <c r="O50" i="6"/>
  <c r="L47" i="6"/>
  <c r="M47" i="6" s="1"/>
  <c r="X32" i="6" s="1"/>
  <c r="H47" i="6"/>
  <c r="H48" i="6" s="1"/>
  <c r="W32" i="6" s="1"/>
  <c r="G47" i="6"/>
  <c r="G48" i="6" s="1"/>
  <c r="V32" i="6" s="1"/>
  <c r="F47" i="6"/>
  <c r="E47" i="6"/>
  <c r="D47" i="6"/>
  <c r="D48" i="6" s="1"/>
  <c r="C47" i="6"/>
  <c r="C48" i="6" s="1"/>
  <c r="B47" i="6"/>
  <c r="B48" i="6" s="1"/>
  <c r="T32" i="6" s="1"/>
  <c r="L46" i="6"/>
  <c r="M46" i="6" s="1"/>
  <c r="L45" i="6"/>
  <c r="M45" i="6" s="1"/>
  <c r="L44" i="6"/>
  <c r="M44" i="6" s="1"/>
  <c r="L43" i="6"/>
  <c r="M43" i="6" s="1"/>
  <c r="L42" i="6"/>
  <c r="M42" i="6" s="1"/>
  <c r="L41" i="6"/>
  <c r="M41" i="6" s="1"/>
  <c r="L40" i="6"/>
  <c r="M40" i="6" s="1"/>
  <c r="L39" i="6"/>
  <c r="M39" i="6" s="1"/>
  <c r="L38" i="6"/>
  <c r="M38" i="6" s="1"/>
  <c r="L37" i="6"/>
  <c r="M37" i="6" s="1"/>
  <c r="L36" i="6"/>
  <c r="M36" i="6" s="1"/>
  <c r="A36" i="6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L35" i="6"/>
  <c r="M35" i="6" s="1"/>
  <c r="U32" i="6"/>
  <c r="S32" i="6"/>
  <c r="R32" i="6"/>
  <c r="O32" i="6"/>
  <c r="L29" i="6"/>
  <c r="M29" i="6" s="1"/>
  <c r="X14" i="6" s="1"/>
  <c r="H29" i="6"/>
  <c r="H30" i="6" s="1"/>
  <c r="W14" i="6" s="1"/>
  <c r="G29" i="6"/>
  <c r="G30" i="6" s="1"/>
  <c r="V14" i="6" s="1"/>
  <c r="F29" i="6"/>
  <c r="E29" i="6"/>
  <c r="D29" i="6"/>
  <c r="D30" i="6" s="1"/>
  <c r="C29" i="6"/>
  <c r="C30" i="6" s="1"/>
  <c r="B29" i="6"/>
  <c r="B30" i="6" s="1"/>
  <c r="T14" i="6" s="1"/>
  <c r="L28" i="6"/>
  <c r="M28" i="6" s="1"/>
  <c r="L27" i="6"/>
  <c r="M27" i="6" s="1"/>
  <c r="L26" i="6"/>
  <c r="M26" i="6" s="1"/>
  <c r="L25" i="6"/>
  <c r="M25" i="6" s="1"/>
  <c r="L24" i="6"/>
  <c r="M24" i="6" s="1"/>
  <c r="L23" i="6"/>
  <c r="M23" i="6" s="1"/>
  <c r="L22" i="6"/>
  <c r="M22" i="6" s="1"/>
  <c r="L21" i="6"/>
  <c r="M21" i="6" s="1"/>
  <c r="L20" i="6"/>
  <c r="M20" i="6" s="1"/>
  <c r="L19" i="6"/>
  <c r="M19" i="6" s="1"/>
  <c r="L18" i="6"/>
  <c r="M18" i="6" s="1"/>
  <c r="A18" i="6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L17" i="6"/>
  <c r="M17" i="6" s="1"/>
  <c r="U14" i="6"/>
  <c r="S14" i="6"/>
  <c r="R14" i="6"/>
  <c r="O14" i="6"/>
  <c r="F12" i="6"/>
  <c r="O46" i="5"/>
  <c r="F46" i="5"/>
  <c r="O45" i="5"/>
  <c r="F45" i="5"/>
  <c r="O44" i="5"/>
  <c r="F44" i="5"/>
  <c r="O43" i="5"/>
  <c r="F43" i="5"/>
  <c r="O42" i="5"/>
  <c r="F42" i="5"/>
  <c r="O41" i="5"/>
  <c r="F41" i="5"/>
  <c r="O40" i="5"/>
  <c r="F40" i="5"/>
  <c r="O39" i="5"/>
  <c r="F39" i="5"/>
  <c r="O38" i="5"/>
  <c r="F38" i="5"/>
  <c r="O37" i="5"/>
  <c r="F37" i="5"/>
  <c r="O36" i="5"/>
  <c r="F36" i="5"/>
  <c r="O35" i="5"/>
  <c r="F35" i="5"/>
  <c r="O34" i="5"/>
  <c r="F34" i="5"/>
  <c r="O33" i="5"/>
  <c r="F33" i="5"/>
  <c r="O32" i="5"/>
  <c r="F32" i="5"/>
  <c r="O31" i="5"/>
  <c r="F31" i="5"/>
  <c r="O30" i="5"/>
  <c r="F30" i="5"/>
  <c r="O29" i="5"/>
  <c r="F29" i="5"/>
  <c r="O28" i="5"/>
  <c r="F28" i="5"/>
  <c r="O27" i="5"/>
  <c r="F27" i="5"/>
  <c r="O26" i="5"/>
  <c r="F26" i="5"/>
  <c r="O25" i="5"/>
  <c r="F25" i="5"/>
  <c r="O24" i="5"/>
  <c r="F24" i="5"/>
  <c r="O23" i="5"/>
  <c r="F23" i="5"/>
  <c r="O22" i="5"/>
  <c r="F22" i="5"/>
  <c r="O21" i="5"/>
  <c r="F21" i="5"/>
  <c r="O20" i="5"/>
  <c r="F20" i="5"/>
  <c r="O19" i="5"/>
  <c r="F19" i="5"/>
  <c r="O18" i="5"/>
  <c r="F18" i="5"/>
  <c r="O17" i="5"/>
  <c r="F17" i="5"/>
  <c r="O16" i="5"/>
  <c r="F16" i="5"/>
  <c r="O15" i="5"/>
  <c r="F15" i="5"/>
  <c r="O14" i="5"/>
  <c r="F14" i="5"/>
  <c r="O13" i="5"/>
  <c r="F13" i="5"/>
  <c r="O12" i="5"/>
  <c r="F12" i="5"/>
  <c r="O11" i="5"/>
  <c r="F11" i="5"/>
  <c r="O10" i="5"/>
  <c r="F10" i="5"/>
  <c r="O9" i="5"/>
  <c r="F9" i="5"/>
  <c r="F8" i="5"/>
  <c r="F7" i="5"/>
  <c r="V6" i="5"/>
  <c r="W6" i="5" s="1"/>
  <c r="X6" i="5" s="1"/>
  <c r="Y6" i="5" s="1"/>
  <c r="Z6" i="5" s="1"/>
  <c r="AA6" i="5" s="1"/>
  <c r="AB6" i="5" s="1"/>
  <c r="AC6" i="5" s="1"/>
  <c r="AD6" i="5" s="1"/>
  <c r="AE6" i="5" s="1"/>
  <c r="AF6" i="5" s="1"/>
  <c r="J5" i="5"/>
  <c r="E5" i="5"/>
  <c r="E4" i="5"/>
  <c r="E3" i="5"/>
  <c r="B3" i="5"/>
  <c r="E2" i="5"/>
  <c r="B2" i="5"/>
  <c r="L2" i="5" s="1"/>
  <c r="C12" i="4"/>
  <c r="C13" i="4" s="1"/>
  <c r="C14" i="4" s="1"/>
  <c r="F7" i="3"/>
  <c r="E7" i="3"/>
  <c r="G6" i="3"/>
  <c r="I6" i="3" s="1"/>
  <c r="G5" i="3"/>
  <c r="I5" i="3" s="1"/>
  <c r="G4" i="3"/>
  <c r="I4" i="3" s="1"/>
  <c r="G3" i="3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G38" i="2"/>
  <c r="F38" i="2"/>
  <c r="E38" i="2"/>
  <c r="D38" i="2"/>
  <c r="C38" i="2"/>
  <c r="G37" i="2"/>
  <c r="F37" i="2"/>
  <c r="E37" i="2"/>
  <c r="D37" i="2"/>
  <c r="C37" i="2"/>
  <c r="G36" i="2"/>
  <c r="F36" i="2"/>
  <c r="E36" i="2"/>
  <c r="D36" i="2"/>
  <c r="C36" i="2"/>
  <c r="G35" i="2"/>
  <c r="F35" i="2"/>
  <c r="E35" i="2"/>
  <c r="D35" i="2"/>
  <c r="C35" i="2"/>
  <c r="C22" i="2"/>
  <c r="G21" i="2"/>
  <c r="E21" i="2"/>
  <c r="J20" i="2"/>
  <c r="C20" i="2"/>
  <c r="C21" i="2" s="1"/>
  <c r="M7" i="2" s="1"/>
  <c r="M16" i="2"/>
  <c r="M15" i="2"/>
  <c r="M10" i="2"/>
  <c r="M9" i="2"/>
  <c r="M8" i="2"/>
  <c r="M6" i="2"/>
  <c r="J46" i="22" l="1"/>
  <c r="J45" i="22"/>
  <c r="J44" i="22"/>
  <c r="J43" i="22"/>
  <c r="J42" i="22"/>
  <c r="J41" i="22"/>
  <c r="J40" i="22"/>
  <c r="J39" i="22"/>
  <c r="J38" i="22"/>
  <c r="J37" i="22"/>
  <c r="J36" i="22"/>
  <c r="J35" i="22"/>
  <c r="J34" i="22"/>
  <c r="J33" i="22"/>
  <c r="J32" i="22"/>
  <c r="J31" i="22"/>
  <c r="J30" i="22"/>
  <c r="J29" i="22"/>
  <c r="J28" i="22"/>
  <c r="J27" i="22"/>
  <c r="J26" i="22"/>
  <c r="J25" i="22"/>
  <c r="J23" i="22"/>
  <c r="J21" i="22"/>
  <c r="J20" i="22"/>
  <c r="J19" i="22"/>
  <c r="J18" i="22"/>
  <c r="J17" i="22"/>
  <c r="J16" i="22"/>
  <c r="J15" i="22"/>
  <c r="J14" i="22"/>
  <c r="J13" i="22"/>
  <c r="J12" i="22"/>
  <c r="J11" i="22"/>
  <c r="J10" i="22"/>
  <c r="J9" i="22"/>
  <c r="J8" i="22"/>
  <c r="J7" i="22"/>
  <c r="J6" i="22"/>
  <c r="J5" i="22"/>
  <c r="I4" i="22"/>
  <c r="I5" i="22" s="1"/>
  <c r="I6" i="22" s="1"/>
  <c r="I7" i="22" s="1"/>
  <c r="I8" i="22" s="1"/>
  <c r="I9" i="22" s="1"/>
  <c r="I10" i="22" s="1"/>
  <c r="I11" i="22" s="1"/>
  <c r="I12" i="22" s="1"/>
  <c r="I13" i="22" s="1"/>
  <c r="I14" i="22" s="1"/>
  <c r="I15" i="22" s="1"/>
  <c r="I16" i="22" s="1"/>
  <c r="I17" i="22" s="1"/>
  <c r="I18" i="22" s="1"/>
  <c r="I19" i="22" s="1"/>
  <c r="I20" i="22" s="1"/>
  <c r="I21" i="22" s="1"/>
  <c r="I22" i="22" s="1"/>
  <c r="J4" i="22"/>
  <c r="G11" i="19"/>
  <c r="G52" i="19" s="1"/>
  <c r="E52" i="19"/>
  <c r="D89" i="18"/>
  <c r="D63" i="18"/>
  <c r="D76" i="18" s="1"/>
  <c r="C89" i="18"/>
  <c r="C63" i="18"/>
  <c r="F61" i="18"/>
  <c r="B89" i="18"/>
  <c r="E61" i="18"/>
  <c r="B63" i="18"/>
  <c r="F54" i="18"/>
  <c r="E54" i="18"/>
  <c r="D55" i="18"/>
  <c r="D95" i="18"/>
  <c r="C45" i="18"/>
  <c r="C56" i="18" s="1"/>
  <c r="F42" i="18"/>
  <c r="E42" i="18"/>
  <c r="B45" i="18"/>
  <c r="B56" i="18" s="1"/>
  <c r="D36" i="18"/>
  <c r="D38" i="18" s="1"/>
  <c r="D91" i="18" s="1"/>
  <c r="D90" i="18"/>
  <c r="C90" i="18"/>
  <c r="F34" i="18"/>
  <c r="C36" i="18"/>
  <c r="B90" i="18"/>
  <c r="E34" i="18"/>
  <c r="B36" i="18"/>
  <c r="F9" i="18"/>
  <c r="C86" i="18"/>
  <c r="B86" i="18"/>
  <c r="E9" i="18"/>
  <c r="D80" i="18"/>
  <c r="D17" i="18"/>
  <c r="D10" i="18"/>
  <c r="C10" i="18"/>
  <c r="F10" i="18" s="1"/>
  <c r="F7" i="18"/>
  <c r="C80" i="18"/>
  <c r="C17" i="18"/>
  <c r="E7" i="18"/>
  <c r="B10" i="18"/>
  <c r="E10" i="18" s="1"/>
  <c r="B17" i="18"/>
  <c r="B80" i="18"/>
  <c r="D63" i="17"/>
  <c r="D76" i="17" s="1"/>
  <c r="D89" i="17"/>
  <c r="F61" i="17"/>
  <c r="C89" i="17"/>
  <c r="C63" i="17"/>
  <c r="B89" i="17"/>
  <c r="B63" i="17"/>
  <c r="E61" i="17"/>
  <c r="F54" i="17"/>
  <c r="E54" i="17"/>
  <c r="D55" i="17"/>
  <c r="D95" i="17"/>
  <c r="C45" i="17"/>
  <c r="C56" i="17" s="1"/>
  <c r="F42" i="17"/>
  <c r="E42" i="17"/>
  <c r="B45" i="17"/>
  <c r="B56" i="17" s="1"/>
  <c r="D90" i="17"/>
  <c r="D36" i="17"/>
  <c r="D38" i="17" s="1"/>
  <c r="D91" i="17" s="1"/>
  <c r="C90" i="17"/>
  <c r="C36" i="17"/>
  <c r="F34" i="17"/>
  <c r="B90" i="17"/>
  <c r="B36" i="17"/>
  <c r="E34" i="17"/>
  <c r="F9" i="17"/>
  <c r="C86" i="17"/>
  <c r="E9" i="17"/>
  <c r="B86" i="17"/>
  <c r="D17" i="17"/>
  <c r="D17" i="14" s="1"/>
  <c r="D81" i="14" s="1"/>
  <c r="D10" i="17"/>
  <c r="D80" i="17"/>
  <c r="F7" i="17"/>
  <c r="C10" i="17"/>
  <c r="F10" i="17" s="1"/>
  <c r="C17" i="17"/>
  <c r="C17" i="14" s="1"/>
  <c r="C80" i="17"/>
  <c r="B10" i="17"/>
  <c r="E10" i="17" s="1"/>
  <c r="E7" i="17"/>
  <c r="B17" i="17"/>
  <c r="B80" i="17"/>
  <c r="C72" i="14"/>
  <c r="F72" i="14" s="1"/>
  <c r="F72" i="16"/>
  <c r="B72" i="14"/>
  <c r="E72" i="14" s="1"/>
  <c r="E72" i="16"/>
  <c r="F64" i="16"/>
  <c r="C64" i="14"/>
  <c r="F64" i="14" s="1"/>
  <c r="B64" i="14"/>
  <c r="E64" i="14" s="1"/>
  <c r="E64" i="16"/>
  <c r="D89" i="16"/>
  <c r="D63" i="16"/>
  <c r="D76" i="16" s="1"/>
  <c r="D61" i="14"/>
  <c r="D89" i="14" s="1"/>
  <c r="F61" i="16"/>
  <c r="C63" i="16"/>
  <c r="C89" i="16"/>
  <c r="C61" i="14"/>
  <c r="B89" i="16"/>
  <c r="B61" i="14"/>
  <c r="B63" i="16"/>
  <c r="E61" i="16"/>
  <c r="D56" i="16"/>
  <c r="D57" i="16" s="1"/>
  <c r="D77" i="16" s="1"/>
  <c r="D54" i="14"/>
  <c r="C56" i="16"/>
  <c r="F54" i="16"/>
  <c r="C54" i="14"/>
  <c r="F54" i="14" s="1"/>
  <c r="B54" i="14"/>
  <c r="E54" i="14" s="1"/>
  <c r="E54" i="16"/>
  <c r="F48" i="16"/>
  <c r="C48" i="14"/>
  <c r="F48" i="14" s="1"/>
  <c r="E48" i="16"/>
  <c r="B48" i="14"/>
  <c r="E48" i="14" s="1"/>
  <c r="D95" i="16"/>
  <c r="D55" i="16"/>
  <c r="F42" i="16"/>
  <c r="C45" i="16"/>
  <c r="B45" i="16"/>
  <c r="B56" i="16" s="1"/>
  <c r="E42" i="16"/>
  <c r="D90" i="16"/>
  <c r="D36" i="16"/>
  <c r="D38" i="16" s="1"/>
  <c r="D91" i="16" s="1"/>
  <c r="F34" i="16"/>
  <c r="C36" i="16"/>
  <c r="C90" i="16"/>
  <c r="B36" i="16"/>
  <c r="E34" i="16"/>
  <c r="B90" i="16"/>
  <c r="F9" i="16"/>
  <c r="C86" i="16"/>
  <c r="E9" i="16"/>
  <c r="B86" i="16"/>
  <c r="D17" i="16"/>
  <c r="D80" i="16"/>
  <c r="D10" i="16"/>
  <c r="C10" i="16"/>
  <c r="F10" i="16" s="1"/>
  <c r="F7" i="16"/>
  <c r="C17" i="16"/>
  <c r="C80" i="16"/>
  <c r="B80" i="16"/>
  <c r="B10" i="16"/>
  <c r="E10" i="16" s="1"/>
  <c r="B17" i="16"/>
  <c r="E7" i="16"/>
  <c r="D63" i="15"/>
  <c r="D89" i="15"/>
  <c r="C89" i="15"/>
  <c r="F61" i="15"/>
  <c r="C63" i="15"/>
  <c r="B63" i="15"/>
  <c r="E61" i="15"/>
  <c r="B89" i="15"/>
  <c r="F54" i="15"/>
  <c r="E54" i="15"/>
  <c r="D45" i="15"/>
  <c r="D42" i="14"/>
  <c r="F42" i="15"/>
  <c r="C45" i="15"/>
  <c r="C56" i="15" s="1"/>
  <c r="C57" i="15" s="1"/>
  <c r="C42" i="14"/>
  <c r="F42" i="14" s="1"/>
  <c r="B42" i="14"/>
  <c r="E42" i="14" s="1"/>
  <c r="E42" i="15"/>
  <c r="B45" i="15"/>
  <c r="B56" i="15" s="1"/>
  <c r="B57" i="15" s="1"/>
  <c r="D34" i="14"/>
  <c r="D90" i="14" s="1"/>
  <c r="D36" i="15"/>
  <c r="D90" i="15"/>
  <c r="C36" i="15"/>
  <c r="F34" i="15"/>
  <c r="C34" i="14"/>
  <c r="C90" i="15"/>
  <c r="E34" i="15"/>
  <c r="B34" i="14"/>
  <c r="B36" i="15"/>
  <c r="B90" i="15"/>
  <c r="D23" i="15"/>
  <c r="D81" i="15"/>
  <c r="C81" i="15"/>
  <c r="C23" i="15"/>
  <c r="F17" i="15"/>
  <c r="B23" i="15"/>
  <c r="E17" i="15"/>
  <c r="B81" i="15"/>
  <c r="B17" i="14"/>
  <c r="D86" i="15"/>
  <c r="D9" i="14"/>
  <c r="D86" i="14" s="1"/>
  <c r="C86" i="15"/>
  <c r="C9" i="14"/>
  <c r="F9" i="15"/>
  <c r="B9" i="14"/>
  <c r="E9" i="15"/>
  <c r="B86" i="15"/>
  <c r="D7" i="14"/>
  <c r="D80" i="14" s="1"/>
  <c r="D80" i="15"/>
  <c r="D10" i="15"/>
  <c r="C80" i="15"/>
  <c r="C10" i="15"/>
  <c r="F7" i="15"/>
  <c r="C7" i="14"/>
  <c r="B80" i="15"/>
  <c r="B7" i="14"/>
  <c r="B10" i="15"/>
  <c r="E7" i="15"/>
  <c r="F74" i="14"/>
  <c r="C92" i="14"/>
  <c r="E74" i="14"/>
  <c r="B92" i="14"/>
  <c r="F65" i="14"/>
  <c r="C94" i="14"/>
  <c r="E65" i="14"/>
  <c r="B94" i="14"/>
  <c r="F52" i="14"/>
  <c r="C93" i="14"/>
  <c r="B93" i="14"/>
  <c r="E52" i="14"/>
  <c r="F21" i="14"/>
  <c r="C4" i="8"/>
  <c r="D30" i="14"/>
  <c r="D79" i="14" s="1"/>
  <c r="D1" i="8"/>
  <c r="F4" i="14"/>
  <c r="F31" i="14" s="1"/>
  <c r="C30" i="14"/>
  <c r="C79" i="14" s="1"/>
  <c r="C1" i="8"/>
  <c r="E4" i="14"/>
  <c r="E31" i="14" s="1"/>
  <c r="B14" i="13"/>
  <c r="C13" i="13"/>
  <c r="F15" i="13"/>
  <c r="F22" i="13" s="1"/>
  <c r="B21" i="13" s="1"/>
  <c r="K15" i="13"/>
  <c r="L5" i="11"/>
  <c r="M5" i="11" s="1"/>
  <c r="L17" i="11"/>
  <c r="E16" i="8"/>
  <c r="E15" i="8"/>
  <c r="U140" i="6"/>
  <c r="X140" i="6"/>
  <c r="Q140" i="6"/>
  <c r="U122" i="6"/>
  <c r="X122" i="6"/>
  <c r="Q122" i="6"/>
  <c r="Q104" i="6"/>
  <c r="Q86" i="6"/>
  <c r="U68" i="6"/>
  <c r="M83" i="6"/>
  <c r="X68" i="6" s="1"/>
  <c r="Q68" i="6"/>
  <c r="G12" i="6"/>
  <c r="H66" i="6"/>
  <c r="W50" i="6" s="1"/>
  <c r="Q50" i="6"/>
  <c r="Q32" i="6"/>
  <c r="Q14" i="6"/>
  <c r="P14" i="6"/>
  <c r="P32" i="6" s="1"/>
  <c r="P50" i="6" s="1"/>
  <c r="P68" i="6" s="1"/>
  <c r="P86" i="6" s="1"/>
  <c r="P104" i="6" s="1"/>
  <c r="P122" i="6" s="1"/>
  <c r="P140" i="6" s="1"/>
  <c r="M81" i="6"/>
  <c r="C6" i="12"/>
  <c r="L3" i="5"/>
  <c r="G20" i="10"/>
  <c r="G21" i="10" s="1"/>
  <c r="G23" i="10" s="1"/>
  <c r="M23" i="2" s="1"/>
  <c r="O23" i="2" s="1"/>
  <c r="P23" i="2" s="1"/>
  <c r="C5" i="10"/>
  <c r="C6" i="10" s="1"/>
  <c r="C8" i="10" s="1"/>
  <c r="M21" i="2" s="1"/>
  <c r="O21" i="2" s="1"/>
  <c r="P21" i="2" s="1"/>
  <c r="E17" i="7"/>
  <c r="C22" i="10"/>
  <c r="C23" i="10" s="1"/>
  <c r="C25" i="10" s="1"/>
  <c r="M22" i="2" s="1"/>
  <c r="O22" i="2" s="1"/>
  <c r="P22" i="2" s="1"/>
  <c r="C5" i="12"/>
  <c r="C7" i="12" s="1"/>
  <c r="E17" i="8"/>
  <c r="I3" i="3"/>
  <c r="I7" i="3" s="1"/>
  <c r="G7" i="3"/>
  <c r="D56" i="18"/>
  <c r="D57" i="18" s="1"/>
  <c r="D77" i="18" s="1"/>
  <c r="D56" i="17"/>
  <c r="D57" i="17" s="1"/>
  <c r="D77" i="17" s="1"/>
  <c r="G18" i="11"/>
  <c r="H18" i="11"/>
  <c r="E14" i="7"/>
  <c r="E15" i="7" s="1"/>
  <c r="E16" i="7" s="1"/>
  <c r="E18" i="7" s="1"/>
  <c r="E20" i="7" s="1"/>
  <c r="M19" i="2" s="1"/>
  <c r="O19" i="2" s="1"/>
  <c r="P19" i="2" s="1"/>
  <c r="F63" i="18" l="1"/>
  <c r="C76" i="18"/>
  <c r="F76" i="18" s="1"/>
  <c r="E63" i="18"/>
  <c r="B76" i="18"/>
  <c r="E76" i="18" s="1"/>
  <c r="C55" i="18"/>
  <c r="F55" i="18" s="1"/>
  <c r="C95" i="18"/>
  <c r="F45" i="18"/>
  <c r="E45" i="18"/>
  <c r="B55" i="18"/>
  <c r="E55" i="18" s="1"/>
  <c r="B95" i="18"/>
  <c r="F36" i="18"/>
  <c r="C38" i="18"/>
  <c r="E36" i="18"/>
  <c r="B38" i="18"/>
  <c r="D23" i="18"/>
  <c r="D81" i="18"/>
  <c r="F17" i="18"/>
  <c r="C23" i="18"/>
  <c r="C81" i="18"/>
  <c r="E17" i="18"/>
  <c r="B23" i="18"/>
  <c r="B81" i="18"/>
  <c r="F63" i="17"/>
  <c r="C76" i="17"/>
  <c r="F76" i="17" s="1"/>
  <c r="E63" i="17"/>
  <c r="B76" i="17"/>
  <c r="E76" i="17" s="1"/>
  <c r="F45" i="17"/>
  <c r="C55" i="17"/>
  <c r="F55" i="17" s="1"/>
  <c r="C95" i="17"/>
  <c r="E45" i="17"/>
  <c r="B55" i="17"/>
  <c r="E55" i="17" s="1"/>
  <c r="B95" i="17"/>
  <c r="F36" i="17"/>
  <c r="C38" i="17"/>
  <c r="E36" i="17"/>
  <c r="B38" i="17"/>
  <c r="D23" i="17"/>
  <c r="D81" i="17"/>
  <c r="C23" i="17"/>
  <c r="F17" i="17"/>
  <c r="C81" i="17"/>
  <c r="B23" i="17"/>
  <c r="E17" i="17"/>
  <c r="B81" i="17"/>
  <c r="C76" i="16"/>
  <c r="F76" i="16" s="1"/>
  <c r="F63" i="16"/>
  <c r="F61" i="14"/>
  <c r="C89" i="14"/>
  <c r="E61" i="14"/>
  <c r="B89" i="14"/>
  <c r="E63" i="16"/>
  <c r="B76" i="16"/>
  <c r="E76" i="16" s="1"/>
  <c r="F45" i="16"/>
  <c r="C55" i="16"/>
  <c r="F55" i="16" s="1"/>
  <c r="C95" i="16"/>
  <c r="B55" i="16"/>
  <c r="E55" i="16" s="1"/>
  <c r="B95" i="16"/>
  <c r="E45" i="16"/>
  <c r="F36" i="16"/>
  <c r="C38" i="16"/>
  <c r="E36" i="16"/>
  <c r="B38" i="16"/>
  <c r="D23" i="16"/>
  <c r="D23" i="14" s="1"/>
  <c r="D85" i="14" s="1"/>
  <c r="D81" i="16"/>
  <c r="F17" i="16"/>
  <c r="C23" i="16"/>
  <c r="C23" i="14" s="1"/>
  <c r="C81" i="16"/>
  <c r="E17" i="16"/>
  <c r="B23" i="16"/>
  <c r="B23" i="14" s="1"/>
  <c r="B81" i="16"/>
  <c r="D76" i="15"/>
  <c r="D76" i="14" s="1"/>
  <c r="D63" i="14"/>
  <c r="F63" i="15"/>
  <c r="C76" i="15"/>
  <c r="C77" i="15" s="1"/>
  <c r="C63" i="14"/>
  <c r="F63" i="14" s="1"/>
  <c r="E63" i="15"/>
  <c r="B76" i="15"/>
  <c r="B77" i="15" s="1"/>
  <c r="B63" i="14"/>
  <c r="E63" i="14" s="1"/>
  <c r="F56" i="15"/>
  <c r="C56" i="14"/>
  <c r="F56" i="14" s="1"/>
  <c r="E56" i="15"/>
  <c r="B56" i="14"/>
  <c r="E56" i="14" s="1"/>
  <c r="D56" i="15"/>
  <c r="D55" i="15"/>
  <c r="D55" i="14" s="1"/>
  <c r="D95" i="15"/>
  <c r="D45" i="14"/>
  <c r="D95" i="14" s="1"/>
  <c r="F45" i="15"/>
  <c r="C55" i="15"/>
  <c r="C95" i="15"/>
  <c r="C45" i="14"/>
  <c r="E45" i="15"/>
  <c r="B55" i="15"/>
  <c r="B95" i="15"/>
  <c r="B45" i="14"/>
  <c r="D38" i="15"/>
  <c r="D36" i="14"/>
  <c r="F57" i="15"/>
  <c r="F36" i="15"/>
  <c r="C38" i="15"/>
  <c r="C36" i="14"/>
  <c r="F36" i="14" s="1"/>
  <c r="F34" i="14"/>
  <c r="C90" i="14"/>
  <c r="E57" i="15"/>
  <c r="E34" i="14"/>
  <c r="B90" i="14"/>
  <c r="E36" i="15"/>
  <c r="B38" i="15"/>
  <c r="B36" i="14"/>
  <c r="E36" i="14" s="1"/>
  <c r="D24" i="15"/>
  <c r="D27" i="15"/>
  <c r="D85" i="15"/>
  <c r="D82" i="15"/>
  <c r="D97" i="15"/>
  <c r="D82" i="14"/>
  <c r="D97" i="14"/>
  <c r="C82" i="15"/>
  <c r="C97" i="15"/>
  <c r="F23" i="15"/>
  <c r="C24" i="15"/>
  <c r="C27" i="15"/>
  <c r="C85" i="15"/>
  <c r="F17" i="14"/>
  <c r="C81" i="14"/>
  <c r="E23" i="15"/>
  <c r="B24" i="15"/>
  <c r="B27" i="15"/>
  <c r="B85" i="15"/>
  <c r="B82" i="15"/>
  <c r="B97" i="15"/>
  <c r="E17" i="14"/>
  <c r="B81" i="14"/>
  <c r="F9" i="14"/>
  <c r="C86" i="14"/>
  <c r="E9" i="14"/>
  <c r="B86" i="14"/>
  <c r="F10" i="15"/>
  <c r="C10" i="14"/>
  <c r="F10" i="14" s="1"/>
  <c r="F7" i="14"/>
  <c r="C80" i="14"/>
  <c r="E7" i="14"/>
  <c r="B80" i="14"/>
  <c r="E10" i="15"/>
  <c r="B10" i="14"/>
  <c r="E10" i="14" s="1"/>
  <c r="C21" i="13"/>
  <c r="B22" i="13"/>
  <c r="C4" i="12"/>
  <c r="C8" i="12" s="1"/>
  <c r="J3" i="13"/>
  <c r="M17" i="11"/>
  <c r="M24" i="11"/>
  <c r="N25" i="2" s="1"/>
  <c r="M25" i="11"/>
  <c r="M25" i="2" s="1"/>
  <c r="O25" i="2" s="1"/>
  <c r="P25" i="2" s="1"/>
  <c r="F4" i="6"/>
  <c r="D5" i="6"/>
  <c r="B9" i="6"/>
  <c r="B4" i="6"/>
  <c r="D7" i="6"/>
  <c r="D4" i="6"/>
  <c r="G4" i="6"/>
  <c r="B5" i="6"/>
  <c r="E5" i="6"/>
  <c r="G5" i="6"/>
  <c r="B6" i="6"/>
  <c r="D6" i="6"/>
  <c r="G6" i="6"/>
  <c r="B7" i="6"/>
  <c r="C9" i="6"/>
  <c r="H7" i="6"/>
  <c r="C4" i="6"/>
  <c r="E4" i="6"/>
  <c r="H4" i="6"/>
  <c r="C5" i="6"/>
  <c r="F5" i="6"/>
  <c r="H5" i="6"/>
  <c r="C6" i="6"/>
  <c r="E6" i="6"/>
  <c r="F6" i="6"/>
  <c r="H6" i="6"/>
  <c r="C7" i="6"/>
  <c r="E7" i="6"/>
  <c r="F7" i="6"/>
  <c r="G7" i="6"/>
  <c r="B8" i="6"/>
  <c r="C8" i="6"/>
  <c r="D8" i="6"/>
  <c r="E8" i="6"/>
  <c r="F8" i="6"/>
  <c r="G8" i="6"/>
  <c r="H8" i="6"/>
  <c r="D9" i="6"/>
  <c r="E9" i="6"/>
  <c r="F9" i="6"/>
  <c r="G9" i="6"/>
  <c r="H9" i="6"/>
  <c r="B10" i="6"/>
  <c r="C10" i="6"/>
  <c r="D10" i="6"/>
  <c r="E10" i="6"/>
  <c r="F10" i="6"/>
  <c r="G10" i="6"/>
  <c r="H10" i="6"/>
  <c r="B11" i="6"/>
  <c r="C11" i="6"/>
  <c r="D11" i="6"/>
  <c r="E11" i="6"/>
  <c r="F11" i="6"/>
  <c r="G11" i="6"/>
  <c r="H11" i="6"/>
  <c r="G25" i="10"/>
  <c r="N23" i="2" s="1"/>
  <c r="C27" i="10"/>
  <c r="N22" i="2" s="1"/>
  <c r="E22" i="7"/>
  <c r="N19" i="2" s="1"/>
  <c r="C10" i="10"/>
  <c r="N21" i="2" s="1"/>
  <c r="E22" i="8"/>
  <c r="N20" i="2" s="1"/>
  <c r="D96" i="17"/>
  <c r="H7" i="3"/>
  <c r="M13" i="2" s="1"/>
  <c r="D96" i="16"/>
  <c r="D96" i="18"/>
  <c r="D10" i="14"/>
  <c r="E18" i="8"/>
  <c r="E20" i="8" s="1"/>
  <c r="M20" i="2" s="1"/>
  <c r="O20" i="2" s="1"/>
  <c r="P20" i="2" s="1"/>
  <c r="J22" i="22"/>
  <c r="I23" i="22"/>
  <c r="I24" i="22" s="1"/>
  <c r="C57" i="18"/>
  <c r="F56" i="18"/>
  <c r="B57" i="18"/>
  <c r="E56" i="18"/>
  <c r="C57" i="17"/>
  <c r="F56" i="17"/>
  <c r="B57" i="17"/>
  <c r="E56" i="17"/>
  <c r="F56" i="16"/>
  <c r="C57" i="16"/>
  <c r="C57" i="14" s="1"/>
  <c r="F57" i="14" s="1"/>
  <c r="B57" i="16"/>
  <c r="B57" i="14" s="1"/>
  <c r="E57" i="14" s="1"/>
  <c r="E56" i="16"/>
  <c r="F38" i="18" l="1"/>
  <c r="C91" i="18"/>
  <c r="C96" i="18" s="1"/>
  <c r="E38" i="18"/>
  <c r="B91" i="18"/>
  <c r="B96" i="18" s="1"/>
  <c r="D24" i="18"/>
  <c r="D27" i="18"/>
  <c r="D85" i="18"/>
  <c r="D82" i="18"/>
  <c r="D97" i="18"/>
  <c r="F23" i="18"/>
  <c r="C24" i="18"/>
  <c r="C27" i="18"/>
  <c r="C85" i="18"/>
  <c r="C82" i="18"/>
  <c r="C97" i="18"/>
  <c r="E23" i="18"/>
  <c r="B24" i="18"/>
  <c r="B27" i="18"/>
  <c r="B85" i="18"/>
  <c r="B97" i="18"/>
  <c r="B82" i="18"/>
  <c r="C91" i="17"/>
  <c r="C96" i="17" s="1"/>
  <c r="F38" i="17"/>
  <c r="E38" i="17"/>
  <c r="B91" i="17"/>
  <c r="B96" i="17" s="1"/>
  <c r="D24" i="17"/>
  <c r="D27" i="17"/>
  <c r="D85" i="17"/>
  <c r="D82" i="17"/>
  <c r="D97" i="17"/>
  <c r="C85" i="17"/>
  <c r="F23" i="17"/>
  <c r="C24" i="17"/>
  <c r="C27" i="17"/>
  <c r="C97" i="17"/>
  <c r="C82" i="17"/>
  <c r="B85" i="17"/>
  <c r="E23" i="17"/>
  <c r="B24" i="17"/>
  <c r="B27" i="17"/>
  <c r="B97" i="17"/>
  <c r="B82" i="17"/>
  <c r="F38" i="16"/>
  <c r="C91" i="16"/>
  <c r="C96" i="16" s="1"/>
  <c r="B91" i="16"/>
  <c r="B96" i="16" s="1"/>
  <c r="E38" i="16"/>
  <c r="D27" i="16"/>
  <c r="D27" i="14" s="1"/>
  <c r="D85" i="16"/>
  <c r="D24" i="16"/>
  <c r="D24" i="14" s="1"/>
  <c r="D87" i="14" s="1"/>
  <c r="D82" i="16"/>
  <c r="D97" i="16"/>
  <c r="C27" i="16"/>
  <c r="C27" i="14" s="1"/>
  <c r="F23" i="16"/>
  <c r="C24" i="16"/>
  <c r="C24" i="14" s="1"/>
  <c r="C85" i="16"/>
  <c r="C97" i="16"/>
  <c r="C82" i="16"/>
  <c r="B27" i="16"/>
  <c r="B27" i="14" s="1"/>
  <c r="B85" i="16"/>
  <c r="E23" i="16"/>
  <c r="B24" i="16"/>
  <c r="B24" i="14" s="1"/>
  <c r="B82" i="16"/>
  <c r="B97" i="16"/>
  <c r="F76" i="15"/>
  <c r="C76" i="14"/>
  <c r="F76" i="14" s="1"/>
  <c r="E76" i="15"/>
  <c r="B76" i="14"/>
  <c r="E76" i="14" s="1"/>
  <c r="D57" i="15"/>
  <c r="D56" i="14"/>
  <c r="F55" i="15"/>
  <c r="C55" i="14"/>
  <c r="F55" i="14" s="1"/>
  <c r="F45" i="14"/>
  <c r="C95" i="14"/>
  <c r="E55" i="15"/>
  <c r="B55" i="14"/>
  <c r="E55" i="14" s="1"/>
  <c r="E45" i="14"/>
  <c r="B95" i="14"/>
  <c r="D91" i="15"/>
  <c r="D96" i="15" s="1"/>
  <c r="D38" i="14"/>
  <c r="D91" i="14" s="1"/>
  <c r="D96" i="14" s="1"/>
  <c r="F38" i="15"/>
  <c r="C91" i="15"/>
  <c r="C96" i="15" s="1"/>
  <c r="C38" i="14"/>
  <c r="E38" i="15"/>
  <c r="B91" i="15"/>
  <c r="B96" i="15" s="1"/>
  <c r="B38" i="14"/>
  <c r="D26" i="15"/>
  <c r="D87" i="15"/>
  <c r="D28" i="15"/>
  <c r="D88" i="15"/>
  <c r="F24" i="15"/>
  <c r="C26" i="15"/>
  <c r="C87" i="15"/>
  <c r="F27" i="15"/>
  <c r="C28" i="15"/>
  <c r="C88" i="15"/>
  <c r="F23" i="14"/>
  <c r="C85" i="14"/>
  <c r="C82" i="14"/>
  <c r="C97" i="14"/>
  <c r="E24" i="15"/>
  <c r="B26" i="15"/>
  <c r="B87" i="15"/>
  <c r="E27" i="15"/>
  <c r="B28" i="15"/>
  <c r="B88" i="15"/>
  <c r="E23" i="14"/>
  <c r="B85" i="14"/>
  <c r="B82" i="14"/>
  <c r="B97" i="14"/>
  <c r="K3" i="13"/>
  <c r="J17" i="13"/>
  <c r="J24" i="22"/>
  <c r="I25" i="22"/>
  <c r="I26" i="22" s="1"/>
  <c r="I27" i="22" s="1"/>
  <c r="I28" i="22" s="1"/>
  <c r="I29" i="22" s="1"/>
  <c r="I30" i="22" s="1"/>
  <c r="I31" i="22" s="1"/>
  <c r="I32" i="22" s="1"/>
  <c r="I33" i="22" s="1"/>
  <c r="I34" i="22" s="1"/>
  <c r="I35" i="22" s="1"/>
  <c r="I36" i="22" s="1"/>
  <c r="I37" i="22" s="1"/>
  <c r="I38" i="22" s="1"/>
  <c r="I39" i="22" s="1"/>
  <c r="I40" i="22" s="1"/>
  <c r="I41" i="22" s="1"/>
  <c r="I42" i="22" s="1"/>
  <c r="I43" i="22" s="1"/>
  <c r="I44" i="22" s="1"/>
  <c r="I45" i="22" s="1"/>
  <c r="I46" i="22" s="1"/>
  <c r="M14" i="2" s="1"/>
  <c r="C77" i="18"/>
  <c r="F57" i="18"/>
  <c r="B77" i="18"/>
  <c r="E57" i="18"/>
  <c r="C77" i="17"/>
  <c r="F57" i="17"/>
  <c r="E57" i="17"/>
  <c r="B77" i="17"/>
  <c r="C77" i="16"/>
  <c r="C77" i="14" s="1"/>
  <c r="F57" i="16"/>
  <c r="B77" i="16"/>
  <c r="B77" i="14" s="1"/>
  <c r="E57" i="16"/>
  <c r="D12" i="6"/>
  <c r="M12" i="6" s="1"/>
  <c r="G23" i="2" s="1"/>
  <c r="M11" i="2" s="1"/>
  <c r="E12" i="6"/>
  <c r="F75" i="2"/>
  <c r="F76" i="2"/>
  <c r="E77" i="2"/>
  <c r="D78" i="2"/>
  <c r="E78" i="2"/>
  <c r="F78" i="2"/>
  <c r="F70" i="2"/>
  <c r="D72" i="2"/>
  <c r="D73" i="2"/>
  <c r="D74" i="2"/>
  <c r="D75" i="2"/>
  <c r="D76" i="2"/>
  <c r="D77" i="2"/>
  <c r="D70" i="2"/>
  <c r="D71" i="2"/>
  <c r="D79" i="2"/>
  <c r="E70" i="2"/>
  <c r="E71" i="2"/>
  <c r="E72" i="2"/>
  <c r="E73" i="2"/>
  <c r="E74" i="2"/>
  <c r="E75" i="2"/>
  <c r="E76" i="2"/>
  <c r="F77" i="2"/>
  <c r="E79" i="2"/>
  <c r="F71" i="2"/>
  <c r="F72" i="2"/>
  <c r="F73" i="2"/>
  <c r="F74" i="2"/>
  <c r="F79" i="2"/>
  <c r="D26" i="18" l="1"/>
  <c r="D87" i="18"/>
  <c r="D28" i="18"/>
  <c r="D88" i="18"/>
  <c r="F24" i="18"/>
  <c r="C26" i="18"/>
  <c r="F26" i="18" s="1"/>
  <c r="C87" i="18"/>
  <c r="C28" i="18"/>
  <c r="F28" i="18" s="1"/>
  <c r="C88" i="18"/>
  <c r="F27" i="18"/>
  <c r="E24" i="18"/>
  <c r="B26" i="18"/>
  <c r="E26" i="18" s="1"/>
  <c r="B87" i="18"/>
  <c r="B28" i="18"/>
  <c r="E28" i="18" s="1"/>
  <c r="B88" i="18"/>
  <c r="E27" i="18"/>
  <c r="D26" i="17"/>
  <c r="D87" i="17"/>
  <c r="D88" i="17"/>
  <c r="D28" i="17"/>
  <c r="F24" i="17"/>
  <c r="C26" i="17"/>
  <c r="F26" i="17" s="1"/>
  <c r="C87" i="17"/>
  <c r="F27" i="17"/>
  <c r="C28" i="17"/>
  <c r="F28" i="17" s="1"/>
  <c r="C88" i="17"/>
  <c r="B26" i="17"/>
  <c r="E26" i="17" s="1"/>
  <c r="B87" i="17"/>
  <c r="E24" i="17"/>
  <c r="B28" i="17"/>
  <c r="E28" i="17" s="1"/>
  <c r="B88" i="17"/>
  <c r="E27" i="17"/>
  <c r="D88" i="16"/>
  <c r="D28" i="16"/>
  <c r="D28" i="14" s="1"/>
  <c r="D26" i="16"/>
  <c r="D26" i="14" s="1"/>
  <c r="D87" i="16"/>
  <c r="F27" i="16"/>
  <c r="C28" i="16"/>
  <c r="C88" i="16"/>
  <c r="C26" i="16"/>
  <c r="F26" i="16" s="1"/>
  <c r="C87" i="16"/>
  <c r="F24" i="16"/>
  <c r="B88" i="16"/>
  <c r="E27" i="16"/>
  <c r="B28" i="16"/>
  <c r="E28" i="16" s="1"/>
  <c r="E24" i="16"/>
  <c r="B26" i="16"/>
  <c r="E26" i="16" s="1"/>
  <c r="B87" i="16"/>
  <c r="D57" i="14"/>
  <c r="D77" i="15"/>
  <c r="D77" i="14" s="1"/>
  <c r="F38" i="14"/>
  <c r="C91" i="14"/>
  <c r="C96" i="14" s="1"/>
  <c r="E38" i="14"/>
  <c r="B91" i="14"/>
  <c r="B96" i="14" s="1"/>
  <c r="D88" i="14"/>
  <c r="C3" i="8"/>
  <c r="C7" i="8" s="1"/>
  <c r="F26" i="15"/>
  <c r="C26" i="14"/>
  <c r="F26" i="14" s="1"/>
  <c r="F24" i="14"/>
  <c r="C87" i="14"/>
  <c r="F28" i="15"/>
  <c r="F27" i="14"/>
  <c r="C88" i="14"/>
  <c r="D3" i="8"/>
  <c r="D7" i="8" s="1"/>
  <c r="E26" i="15"/>
  <c r="B26" i="14"/>
  <c r="E26" i="14" s="1"/>
  <c r="E24" i="14"/>
  <c r="B87" i="14"/>
  <c r="E28" i="15"/>
  <c r="B28" i="14"/>
  <c r="E28" i="14" s="1"/>
  <c r="E27" i="14"/>
  <c r="B88" i="14"/>
  <c r="L6" i="13"/>
  <c r="L10" i="13"/>
  <c r="L12" i="13"/>
  <c r="L7" i="13"/>
  <c r="L13" i="13"/>
  <c r="L8" i="13"/>
  <c r="L9" i="13"/>
  <c r="L11" i="13"/>
  <c r="L14" i="13"/>
  <c r="L3" i="13"/>
  <c r="L17" i="13" s="1"/>
  <c r="K17" i="13"/>
  <c r="O4" i="13" s="1"/>
  <c r="Q4" i="13" s="1"/>
  <c r="O5" i="13" s="1"/>
  <c r="L5" i="13"/>
  <c r="L15" i="13" s="1"/>
  <c r="G24" i="2"/>
  <c r="H12" i="6"/>
  <c r="M12" i="2" s="1"/>
  <c r="Q5" i="13" l="1"/>
  <c r="F28" i="16"/>
  <c r="C28" i="14"/>
  <c r="F28" i="14" s="1"/>
  <c r="O6" i="13" l="1"/>
  <c r="Q6" i="13" l="1"/>
  <c r="O7" i="13" l="1"/>
  <c r="O8" i="13"/>
  <c r="Q8" i="13" s="1"/>
  <c r="O9" i="13"/>
  <c r="Q9" i="13" s="1"/>
  <c r="O10" i="13" l="1"/>
  <c r="Q7" i="13"/>
  <c r="Q10" i="13" s="1"/>
  <c r="Q15" i="13" l="1"/>
  <c r="Q16" i="13"/>
  <c r="P14" i="13"/>
  <c r="Q14" i="13" l="1"/>
  <c r="Q17" i="13" s="1"/>
  <c r="P17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H5" authorId="0" shapeId="0" xr:uid="{00000000-0006-0000-0000-000001000000}">
      <text>
        <r>
          <rPr>
            <sz val="10"/>
            <rFont val="Arial"/>
            <family val="2"/>
          </rPr>
          <t>From Bashir case: LTV on loan amount = 53.33% (Rs.16L loan / Rs.30L lower valuation).</t>
        </r>
      </text>
    </comment>
    <comment ref="H15" authorId="0" shapeId="0" xr:uid="{00000000-0006-0000-0000-000002000000}">
      <text>
        <r>
          <rPr>
            <sz val="10"/>
            <rFont val="Arial"/>
            <family val="2"/>
          </rPr>
          <t>From Bashir case: LTV on loan amount = 53.33% (Rs.16L loan / Rs.30L lower valuation).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24" authorId="0" shapeId="0" xr:uid="{00000000-0006-0000-0100-000001000000}">
      <text>
        <r>
          <rPr>
            <sz val="10"/>
            <rFont val="Arial"/>
            <family val="2"/>
          </rPr>
          <t>Author:
To be filed in case of HL and topup, HL and topup to be booked seperatly.</t>
        </r>
      </text>
    </comment>
  </commentList>
</comments>
</file>

<file path=xl/sharedStrings.xml><?xml version="1.0" encoding="utf-8"?>
<sst xmlns="http://schemas.openxmlformats.org/spreadsheetml/2006/main" count="1723" uniqueCount="728">
  <si>
    <t>PRODUCT &amp; SCHEME CODE MASTER</t>
  </si>
  <si>
    <t>Product Hierarchy — Scheme Code, Category, Sub-Category &amp; LTV/FOIR Deviation Norms</t>
  </si>
  <si>
    <t>S.No</t>
  </si>
  <si>
    <t>Product</t>
  </si>
  <si>
    <t>Scheme Code</t>
  </si>
  <si>
    <t>Category</t>
  </si>
  <si>
    <t>Sub-Category / Loan Type</t>
  </si>
  <si>
    <t>Applicable To</t>
  </si>
  <si>
    <t>LTV Norm</t>
  </si>
  <si>
    <t>Actual LTV (%)</t>
  </si>
  <si>
    <t>Deviation Status</t>
  </si>
  <si>
    <t>Personal Loan</t>
  </si>
  <si>
    <t>General Personal Loan</t>
  </si>
  <si>
    <t>-</t>
  </si>
  <si>
    <t>Salaried</t>
  </si>
  <si>
    <t>60%</t>
  </si>
  <si>
    <t>Self Employed</t>
  </si>
  <si>
    <t>Group Employee Personal Loan</t>
  </si>
  <si>
    <t>Business Loan</t>
  </si>
  <si>
    <t>General Business Loan</t>
  </si>
  <si>
    <t>Group Employee Business Loan</t>
  </si>
  <si>
    <t>Micro Loan</t>
  </si>
  <si>
    <t>Home Loan</t>
  </si>
  <si>
    <t>Small Ticket Home Loan</t>
  </si>
  <si>
    <t>Construction Loan / Composite Loan / Purchase of Property</t>
  </si>
  <si>
    <t>High Ticket Home Loan</t>
  </si>
  <si>
    <t>LAP Loan</t>
  </si>
  <si>
    <t>Small Ticket LAP</t>
  </si>
  <si>
    <t>Salaried / Self Employed</t>
  </si>
  <si>
    <t>High Ticket LAP</t>
  </si>
  <si>
    <t>Notes:
1. LTV Norm of 60% applies only to secured products — Home Loan (Small Ticket / High Ticket) and LAP (Small Ticket / High Ticket). Personal Loan, Business Loan, and Micro Loan are unsecured / income-based products and are marked Not Applicable (N/A).
2. Enter the case's Actual LTV (%) in column H — the Deviation Status in column I updates automatically: 'Within Norms' if LTV ≤ 60%, 'Deviation' if LTV exceeds 60% (flat/property cases beyond the 60% threshold must be routed through the deviation approval process).
3. Home Loan sub-categories cover Construction Loan, Composite Loan, and Purchase of Property, applicable to both Salaried and Self Employed borrowers under each ticket size.</t>
  </si>
  <si>
    <t>Version -1</t>
  </si>
  <si>
    <t>SMART SUMMARY DASHBOARD — UNDERWRITER VIEW</t>
  </si>
  <si>
    <t>Sourcing and Key loan terms:</t>
  </si>
  <si>
    <t>Auto-calculated from linked sheets (RTR, Banking, Collateral, Eligibility, Deviation List). Verify source inputs before relying on any figure below.</t>
  </si>
  <si>
    <t>Salaried Income Program</t>
  </si>
  <si>
    <t>Normal Income Program</t>
  </si>
  <si>
    <t>Application ID</t>
  </si>
  <si>
    <t xml:space="preserve">Proposal Date </t>
  </si>
  <si>
    <t>KEY METRICS</t>
  </si>
  <si>
    <t>Banking Surrogate Program</t>
  </si>
  <si>
    <t>Case Location</t>
  </si>
  <si>
    <t xml:space="preserve">Branch &amp; Distance from branch </t>
  </si>
  <si>
    <t>Metric</t>
  </si>
  <si>
    <t>Value</t>
  </si>
  <si>
    <t>Unit</t>
  </si>
  <si>
    <t>Note / Norm</t>
  </si>
  <si>
    <t>GST/GTP Program</t>
  </si>
  <si>
    <t>Sourcing Done By</t>
  </si>
  <si>
    <t>Sourcing Channel</t>
  </si>
  <si>
    <t>Proposed Loan Amount</t>
  </si>
  <si>
    <t>Lakhs</t>
  </si>
  <si>
    <t>Gross Receipts Program - Doctors</t>
  </si>
  <si>
    <t xml:space="preserve">Borrower Details </t>
  </si>
  <si>
    <t>Applicant/Co-Applicant/Guarantor</t>
  </si>
  <si>
    <t>Name of Borrower</t>
  </si>
  <si>
    <t>Relationship</t>
  </si>
  <si>
    <t>Dependent (Y/N)</t>
  </si>
  <si>
    <t>Age at Loan Maturity</t>
  </si>
  <si>
    <t>Qualification</t>
  </si>
  <si>
    <t>Cibil Score</t>
  </si>
  <si>
    <t>Total Group Exposure</t>
  </si>
  <si>
    <t>Own exposure + existing group POS</t>
  </si>
  <si>
    <t>Repayment Track Record Program (RTR) Program</t>
  </si>
  <si>
    <t>SOIP</t>
  </si>
  <si>
    <t>Applicant</t>
  </si>
  <si>
    <t>ROI (p.a.)</t>
  </si>
  <si>
    <t>%</t>
  </si>
  <si>
    <t>Assessment Program</t>
  </si>
  <si>
    <t>SORP</t>
  </si>
  <si>
    <t>Co-Applicant</t>
  </si>
  <si>
    <t>Tenure</t>
  </si>
  <si>
    <t>Months</t>
  </si>
  <si>
    <t>Residential Property</t>
  </si>
  <si>
    <t>Approx. Proposed EMI</t>
  </si>
  <si>
    <t>Rs</t>
  </si>
  <si>
    <t>Computed on proposed amount/tenor/ROI</t>
  </si>
  <si>
    <t>SOCP</t>
  </si>
  <si>
    <t>Banking Turnover Ratio (BTO)</t>
  </si>
  <si>
    <t>x</t>
  </si>
  <si>
    <t>Annualised banking credits / proposed loan</t>
  </si>
  <si>
    <t>Commercial Property</t>
  </si>
  <si>
    <t>ABB : EMI Ratio</t>
  </si>
  <si>
    <t>Compare with applicable program norm</t>
  </si>
  <si>
    <t>Plot</t>
  </si>
  <si>
    <t>Collateral LTV (Blended)</t>
  </si>
  <si>
    <t>Policy norm ~60% for secured products (Product type sheet)</t>
  </si>
  <si>
    <t>SOIP+SORP</t>
  </si>
  <si>
    <t>Total Policy Deviations Flagged</t>
  </si>
  <si>
    <t>count</t>
  </si>
  <si>
    <t>See Deviation Register below</t>
  </si>
  <si>
    <t>Min CIBIL Score (Applicants)</t>
  </si>
  <si>
    <t>score</t>
  </si>
  <si>
    <t>Max CIBIL Score (Applicants)</t>
  </si>
  <si>
    <t>ELIGIBILITY CROSS-CHECK — ALL PROGRAMS</t>
  </si>
  <si>
    <t>SOIP+SOCP</t>
  </si>
  <si>
    <t>Program</t>
  </si>
  <si>
    <t>Eligible Amt</t>
  </si>
  <si>
    <t>Actual FOIR/Ratio</t>
  </si>
  <si>
    <t>Gap vs Proposed</t>
  </si>
  <si>
    <t>Status</t>
  </si>
  <si>
    <t>Program Type</t>
  </si>
  <si>
    <t>Multiple Properties</t>
  </si>
  <si>
    <t xml:space="preserve">Loan Amount / Exposure </t>
  </si>
  <si>
    <t>Existing Group Exposure (POS)</t>
  </si>
  <si>
    <t>Normal / Business Income Program</t>
  </si>
  <si>
    <t>NA</t>
  </si>
  <si>
    <t>Tenure (Months)</t>
  </si>
  <si>
    <t>Assessment Program (Trade/Business)</t>
  </si>
  <si>
    <t>ROI</t>
  </si>
  <si>
    <t>Processing Fees</t>
  </si>
  <si>
    <t>GST Program</t>
  </si>
  <si>
    <t>FOIR</t>
  </si>
  <si>
    <t>BTO</t>
  </si>
  <si>
    <t>GRP - Doctors Program</t>
  </si>
  <si>
    <t>HL Loan amount</t>
  </si>
  <si>
    <t>ABB (Rs in Lakha)</t>
  </si>
  <si>
    <t>RTR / BT Program</t>
  </si>
  <si>
    <t>Insurance (%)</t>
  </si>
  <si>
    <t>Existing Loan Details Sivels Finance</t>
  </si>
  <si>
    <t>Note: LTV norm (60%) is drawn from the Product type sheet for secured products; BTO/ABB:EMI thresholds should be validated against the current credit policy for the selected scheme code before sanction. Figures above recalc automatically as each linked sheet is filled in.</t>
  </si>
  <si>
    <t>Asset Creation</t>
  </si>
  <si>
    <t>Type of Assets</t>
  </si>
  <si>
    <t>Year of Purchase</t>
  </si>
  <si>
    <t>Purchase Cost</t>
  </si>
  <si>
    <t>Market Value</t>
  </si>
  <si>
    <t>Property Owner</t>
  </si>
  <si>
    <t>Remarks</t>
  </si>
  <si>
    <t>Pre-payment Charges</t>
  </si>
  <si>
    <t>No foreclosure allowed up to 24 months of disbursement.</t>
  </si>
  <si>
    <t>Between 24 to 48 months, prepayment charges will be 4%+GST of outstanding loan amount and thereafter 2%+GST will be charged as prepayment charges on outstanding loan amount.</t>
  </si>
  <si>
    <t>Personal Discussion (PD)/ Site Visit (SV)</t>
  </si>
  <si>
    <t>Deal Structure</t>
  </si>
  <si>
    <t xml:space="preserve">End use </t>
  </si>
  <si>
    <t>Disbursement Tranche (If any)</t>
  </si>
  <si>
    <t xml:space="preserve">Applicant Profile </t>
  </si>
  <si>
    <t xml:space="preserve">Co applicant Profile </t>
  </si>
  <si>
    <t>About Buereu Report of App &amp; Co-applicant</t>
  </si>
  <si>
    <t>Reference Check</t>
  </si>
  <si>
    <t>Trade Reference</t>
  </si>
  <si>
    <t>Name of person</t>
  </si>
  <si>
    <t>Tel No</t>
  </si>
  <si>
    <t>Other Reference</t>
  </si>
  <si>
    <t xml:space="preserve">Strengths </t>
  </si>
  <si>
    <t>Concerns with Mitigants (If Any)</t>
  </si>
  <si>
    <t>Case Specific Sanction Condition</t>
  </si>
  <si>
    <t>Recommendation</t>
  </si>
  <si>
    <t>Approing Authority</t>
  </si>
  <si>
    <t>Deviations</t>
  </si>
  <si>
    <t>S.N.</t>
  </si>
  <si>
    <t xml:space="preserve">Nature of Deviation </t>
  </si>
  <si>
    <t xml:space="preserve">Deviation description </t>
  </si>
  <si>
    <t>Level</t>
  </si>
  <si>
    <t>Rational</t>
  </si>
  <si>
    <t>END</t>
  </si>
  <si>
    <t>S. No.</t>
  </si>
  <si>
    <t>Type of Collateral</t>
  </si>
  <si>
    <t>Address of collateral</t>
  </si>
  <si>
    <t>Current Usage</t>
  </si>
  <si>
    <t>Valuation 1</t>
  </si>
  <si>
    <t>Lower Valuation</t>
  </si>
  <si>
    <t>LTV</t>
  </si>
  <si>
    <t>Loan Amount</t>
  </si>
  <si>
    <t>Legal vendor Name &amp; Status</t>
  </si>
  <si>
    <t>Techncial Remarks (If any)</t>
  </si>
  <si>
    <t>Vacant Residential</t>
  </si>
  <si>
    <t>Rented Residential</t>
  </si>
  <si>
    <t>Rented Commercial</t>
  </si>
  <si>
    <t>Total</t>
  </si>
  <si>
    <t>Mixed usage</t>
  </si>
  <si>
    <t>Vacant Commercial</t>
  </si>
  <si>
    <t>Year</t>
  </si>
  <si>
    <t>Sales</t>
  </si>
  <si>
    <t>Avg</t>
  </si>
  <si>
    <t>Annualized</t>
  </si>
  <si>
    <t>Total Obligations - Live Loans</t>
  </si>
  <si>
    <t>Closure within 12 months &amp; Proposed BT &amp; Proposed to be closed from Sivels Finance</t>
  </si>
  <si>
    <t xml:space="preserve">Details of Proposed Loan </t>
  </si>
  <si>
    <t>Total Obligations including Sivels Finance</t>
  </si>
  <si>
    <t xml:space="preserve">POS (In Rs.) </t>
  </si>
  <si>
    <t xml:space="preserve">Loan Amount (In Rs.) </t>
  </si>
  <si>
    <t xml:space="preserve">EMI (In Rs.) </t>
  </si>
  <si>
    <t xml:space="preserve">Tenor </t>
  </si>
  <si>
    <t>Personal Obligation not considered</t>
  </si>
  <si>
    <t xml:space="preserve">ROI </t>
  </si>
  <si>
    <t xml:space="preserve">EMI </t>
  </si>
  <si>
    <t xml:space="preserve">Name of Borrower </t>
  </si>
  <si>
    <t>Bank / Fi Name</t>
  </si>
  <si>
    <t>Account from where EMI served</t>
  </si>
  <si>
    <t>Status (Live / Closed)</t>
  </si>
  <si>
    <t>Loan Amount (In Rs.)</t>
  </si>
  <si>
    <t xml:space="preserve">POS </t>
  </si>
  <si>
    <t xml:space="preserve">Reflected in CIBIL </t>
  </si>
  <si>
    <t>Start Date (dd/mm/yyyy)</t>
  </si>
  <si>
    <t>End Date</t>
  </si>
  <si>
    <t>Tenor (In months)</t>
  </si>
  <si>
    <t>Paid Tenor</t>
  </si>
  <si>
    <t>O/s Tenor</t>
  </si>
  <si>
    <t>No of bounce in Last 12 months</t>
  </si>
  <si>
    <t>FOIR (Y/N)</t>
  </si>
  <si>
    <t>DPD's in CIBIL report</t>
  </si>
  <si>
    <t>Comment on RTR</t>
  </si>
  <si>
    <t>EMI due date eg. 5th of every month</t>
  </si>
  <si>
    <t>Banking Analysis</t>
  </si>
  <si>
    <t>S.No.</t>
  </si>
  <si>
    <t xml:space="preserve">Bank Name </t>
  </si>
  <si>
    <t xml:space="preserve">Type of Account </t>
  </si>
  <si>
    <t xml:space="preserve">Annualised Business Credit summation </t>
  </si>
  <si>
    <t xml:space="preserve">ABB </t>
  </si>
  <si>
    <t xml:space="preserve">% I/w returns </t>
  </si>
  <si>
    <t xml:space="preserve">% O/w returns </t>
  </si>
  <si>
    <t>ABB / EMI</t>
  </si>
  <si>
    <t xml:space="preserve">Other remarks </t>
  </si>
  <si>
    <t>A/c Holder Name</t>
  </si>
  <si>
    <t>Bank Name</t>
  </si>
  <si>
    <t>Account Type-</t>
  </si>
  <si>
    <t>Account No</t>
  </si>
  <si>
    <t>Banking -1</t>
  </si>
  <si>
    <t>Amount of Transactions</t>
  </si>
  <si>
    <t>No of Transactions</t>
  </si>
  <si>
    <t>Bounce Data</t>
  </si>
  <si>
    <t>Bank Balance</t>
  </si>
  <si>
    <t>ABB</t>
  </si>
  <si>
    <t>MONTHS</t>
  </si>
  <si>
    <t xml:space="preserve">Monthly Credits
</t>
  </si>
  <si>
    <t>Monthly Credits
non Business Related</t>
  </si>
  <si>
    <t>Monthly Debits</t>
  </si>
  <si>
    <t>No. of Debits</t>
  </si>
  <si>
    <t>No. of Credits</t>
  </si>
  <si>
    <t>I/W Bounces</t>
  </si>
  <si>
    <t>O/W Bounces</t>
  </si>
  <si>
    <t>DAY 5th Balance</t>
  </si>
  <si>
    <t>DAY 15th Balance</t>
  </si>
  <si>
    <t>DAY 25th Balance</t>
  </si>
  <si>
    <t>Avg Receipts</t>
  </si>
  <si>
    <t>ANNUALISED</t>
  </si>
  <si>
    <t>Bounce %</t>
  </si>
  <si>
    <t>Saving</t>
  </si>
  <si>
    <t>Banking -2</t>
  </si>
  <si>
    <t>Banking -3</t>
  </si>
  <si>
    <t>Banking -4</t>
  </si>
  <si>
    <t>Banking -5</t>
  </si>
  <si>
    <t>Banking -6</t>
  </si>
  <si>
    <t>OD</t>
  </si>
  <si>
    <t>Od Banking -1</t>
  </si>
  <si>
    <t>OD Limit</t>
  </si>
  <si>
    <t>ABB 
(unutilsed balance)</t>
  </si>
  <si>
    <t>Monthly Credits</t>
  </si>
  <si>
    <t>OD Banking -2</t>
  </si>
  <si>
    <t>Sr. No.</t>
  </si>
  <si>
    <t>Component</t>
  </si>
  <si>
    <t>Amount as per Salary slip</t>
  </si>
  <si>
    <t>Consideration</t>
  </si>
  <si>
    <t>Eligible Amount</t>
  </si>
  <si>
    <t>Salaried Income</t>
  </si>
  <si>
    <t>A.1</t>
  </si>
  <si>
    <t>Net salary as per salary slip</t>
  </si>
  <si>
    <t>A.2</t>
  </si>
  <si>
    <t>Fixed bonus (monthly/quarterly) if forming a part of salary slip</t>
  </si>
  <si>
    <t>A.3</t>
  </si>
  <si>
    <t>Performance linked bonus/incentives (monthly)</t>
  </si>
  <si>
    <t>A.4</t>
  </si>
  <si>
    <t>Monthly perquisites in the form of meal vouchers</t>
  </si>
  <si>
    <t>A.5</t>
  </si>
  <si>
    <t>Reimbursements as a part of CTC</t>
  </si>
  <si>
    <t>A</t>
  </si>
  <si>
    <t>Total Salaried Income (A.1+A.2+A.3+A.4+ A.5)</t>
  </si>
  <si>
    <t>Other Income</t>
  </si>
  <si>
    <t>B.1</t>
  </si>
  <si>
    <t>House Property (Per month)</t>
  </si>
  <si>
    <t>B.2</t>
  </si>
  <si>
    <t>Agriculture Income (Per month)</t>
  </si>
  <si>
    <t>B.3</t>
  </si>
  <si>
    <t>Income from Other Sources (Per month)</t>
  </si>
  <si>
    <t>B.4</t>
  </si>
  <si>
    <t>Total Other Income (B.1+ B.2+ B.3)</t>
  </si>
  <si>
    <t>B</t>
  </si>
  <si>
    <t xml:space="preserve">Total Other Income to be considered </t>
  </si>
  <si>
    <t>Restricted to maximum 100% of Salaried Income</t>
  </si>
  <si>
    <t>Yes</t>
  </si>
  <si>
    <t>C</t>
  </si>
  <si>
    <t>Total Monthly Income (A+B)</t>
  </si>
  <si>
    <t>D</t>
  </si>
  <si>
    <t>Total Eligible Monthly Income (C*FOIR)</t>
  </si>
  <si>
    <t>E</t>
  </si>
  <si>
    <t>Existing Monthly Obligations</t>
  </si>
  <si>
    <t>F</t>
  </si>
  <si>
    <t>Net Serviceable Income (D-E)</t>
  </si>
  <si>
    <t>G</t>
  </si>
  <si>
    <t>EMI Factor @IRR/Tenor</t>
  </si>
  <si>
    <t>H</t>
  </si>
  <si>
    <t>Loan Eligibility (F/G)</t>
  </si>
  <si>
    <t>I</t>
  </si>
  <si>
    <t>Proposed Loan Amount (in lacs)</t>
  </si>
  <si>
    <t>J</t>
  </si>
  <si>
    <t>Actual FOIR</t>
  </si>
  <si>
    <t>Considered for Eligibility Amount</t>
  </si>
  <si>
    <t>Primary Income</t>
  </si>
  <si>
    <t>PAT</t>
  </si>
  <si>
    <t>Depreciation</t>
  </si>
  <si>
    <t>Salary to partners</t>
  </si>
  <si>
    <t>Interest Paid to related parties/partners/directors</t>
  </si>
  <si>
    <t>Primary Income P.a. (A.1 to A.5)</t>
  </si>
  <si>
    <t>Salary Income (if anyone is salaried) P.a.</t>
  </si>
  <si>
    <t>C.1</t>
  </si>
  <si>
    <t>House Property (Per Annum)</t>
  </si>
  <si>
    <t>C.2</t>
  </si>
  <si>
    <t>Agriculture Income (Per Annum)</t>
  </si>
  <si>
    <t>C.3</t>
  </si>
  <si>
    <t>Income from Other Sources (Per Annum)</t>
  </si>
  <si>
    <t>C.4</t>
  </si>
  <si>
    <t>Restricted to maximum 100% of Business Income</t>
  </si>
  <si>
    <t>No</t>
  </si>
  <si>
    <t>Total Income (A+B+C) (Per Annum)</t>
  </si>
  <si>
    <t>Total Eligible Monthly Income (A+B*FOIR @ 70%+C*60%)/12</t>
  </si>
  <si>
    <t>Net Serviceable Income (E-F)</t>
  </si>
  <si>
    <t>Loan Eligibility (G/H)</t>
  </si>
  <si>
    <t>K</t>
  </si>
  <si>
    <t>RTR Norms</t>
  </si>
  <si>
    <t>RTR</t>
  </si>
  <si>
    <t>12-24 MOB</t>
  </si>
  <si>
    <t>25-36 MOB</t>
  </si>
  <si>
    <t>&gt;36 MOB</t>
  </si>
  <si>
    <t>OD as per CIR</t>
  </si>
  <si>
    <t>Nil</t>
  </si>
  <si>
    <t>1 (Never in 30+ during MOB)</t>
  </si>
  <si>
    <t>2 (Never in 30+ during MOB)</t>
  </si>
  <si>
    <t>Bounce (as per SOA)</t>
  </si>
  <si>
    <t>&lt;=2</t>
  </si>
  <si>
    <t>&lt;=3</t>
  </si>
  <si>
    <t>&lt;=4</t>
  </si>
  <si>
    <t>Multiplier on EMI</t>
  </si>
  <si>
    <t>1.5x</t>
  </si>
  <si>
    <t>1.75x</t>
  </si>
  <si>
    <t>2.00x</t>
  </si>
  <si>
    <t>Max Topup</t>
  </si>
  <si>
    <t>upto 50% of BT amount</t>
  </si>
  <si>
    <t>upto 100% of BT amount</t>
  </si>
  <si>
    <t>upto 200% of BT amount</t>
  </si>
  <si>
    <t>BT Loan Details and Eligibility Calculation</t>
  </si>
  <si>
    <t>BT Loan 1</t>
  </si>
  <si>
    <t>BT Loan 2</t>
  </si>
  <si>
    <t>BT Loan 3</t>
  </si>
  <si>
    <t>Sanction Amount</t>
  </si>
  <si>
    <t>Current POS</t>
  </si>
  <si>
    <t>EMI Start Date</t>
  </si>
  <si>
    <t>EMI Amount</t>
  </si>
  <si>
    <t>MOB</t>
  </si>
  <si>
    <t>Assessed Income</t>
  </si>
  <si>
    <t>Eligibility Calculation as per Assessment Program</t>
  </si>
  <si>
    <t>Assessed EBIDTA Margin</t>
  </si>
  <si>
    <t>Sales last Year</t>
  </si>
  <si>
    <t>Net Monthly Income as per memorandum of monthly income and expenditure statement</t>
  </si>
  <si>
    <t>Less: Expenses</t>
  </si>
  <si>
    <t>Total Eligible Monthly Income ((B-C)* FOIR%)/12</t>
  </si>
  <si>
    <t>Cost of Goods Sold</t>
  </si>
  <si>
    <t>Existing Monthly Loan Obligations</t>
  </si>
  <si>
    <t>Salary</t>
  </si>
  <si>
    <t>Net Serviceable Income (B-C)</t>
  </si>
  <si>
    <t>Rent</t>
  </si>
  <si>
    <t>Electricity</t>
  </si>
  <si>
    <t>Loan Eligibility (E/F)</t>
  </si>
  <si>
    <t>Other Office Administrative Expense</t>
  </si>
  <si>
    <t>Total Expense</t>
  </si>
  <si>
    <t>Assessed EBIDTA</t>
  </si>
  <si>
    <t>Actual EBITDA Margin</t>
  </si>
  <si>
    <t>(Surplus/Total)</t>
  </si>
  <si>
    <t>Eligibility Calculation as per GST Program</t>
  </si>
  <si>
    <t>Eligibility Calculation as per GRP - Doctors Program</t>
  </si>
  <si>
    <t>Annual Turnover as per GST returns/Financials</t>
  </si>
  <si>
    <t>Margin to be considered to be lower of:</t>
  </si>
  <si>
    <t>Average Gross Receipts of last 2 years</t>
  </si>
  <si>
    <t>Assessed EBIDTA Margin % as assessed during PD</t>
  </si>
  <si>
    <t>B1</t>
  </si>
  <si>
    <t>Multiplier as per policy (A* 2.5/2)</t>
  </si>
  <si>
    <t>Or</t>
  </si>
  <si>
    <t>B2</t>
  </si>
  <si>
    <t>Total Income</t>
  </si>
  <si>
    <t xml:space="preserve">Deemed Margin of 10% (service), 6% (Trading) and 8% (Manufacturing) </t>
  </si>
  <si>
    <t>Income Tax Paid</t>
  </si>
  <si>
    <t>Annual Income (A*B)</t>
  </si>
  <si>
    <t>Total Eligible Monthly Income ((B-C)* FOIR%)</t>
  </si>
  <si>
    <t>Income Tax paid (latest year)</t>
  </si>
  <si>
    <t>Total Eligible Monthly Income ((C-D)* FOIR%)/12</t>
  </si>
  <si>
    <t>Net Serviceable Income (C-D)</t>
  </si>
  <si>
    <t xml:space="preserve">Existing Monthly Loan Obligations  </t>
  </si>
  <si>
    <t>Eligibility Sheet - Banking Program</t>
  </si>
  <si>
    <t>Consolidation of max 3 Banking</t>
  </si>
  <si>
    <t xml:space="preserve">ABB / EMI </t>
  </si>
  <si>
    <t>Eligibility Sheet</t>
  </si>
  <si>
    <t>EMI Started in last 3 months</t>
  </si>
  <si>
    <t>Proposed Loan Amount (in Lacs)</t>
  </si>
  <si>
    <t>Interest Rate %</t>
  </si>
  <si>
    <t>Proposed Loan Tenure (months)</t>
  </si>
  <si>
    <t>Proposed EMI</t>
  </si>
  <si>
    <t>ABB : EMI</t>
  </si>
  <si>
    <t>Loan Eligibility (Rs in Lacs)  @ 2 x ABB</t>
  </si>
  <si>
    <t>r</t>
  </si>
  <si>
    <t>Particulars</t>
  </si>
  <si>
    <t>in rs</t>
  </si>
  <si>
    <t>Monthly takehome</t>
  </si>
  <si>
    <t xml:space="preserve">EMI obligations </t>
  </si>
  <si>
    <t xml:space="preserve">Proposed EMI for Rs.40 Lacs/ 120 months </t>
  </si>
  <si>
    <t>Total EMI commitment</t>
  </si>
  <si>
    <t>Computation of Profit/Loss for M/s.....................(Monthly Computations- Assessed Profile)</t>
  </si>
  <si>
    <t>Statement of Free Cash Flow Statement</t>
  </si>
  <si>
    <t>Cash Flow Monthly (Rs.)</t>
  </si>
  <si>
    <t>Cash Flow Annual 
(Rs.)</t>
  </si>
  <si>
    <t>%age of total business cash flow</t>
  </si>
  <si>
    <t>Expected Investment Potential- 5 Years</t>
  </si>
  <si>
    <t>Expense/s</t>
  </si>
  <si>
    <t>Revenue/s</t>
  </si>
  <si>
    <t>Net Profit (Cash flow from business/service)- B/F (A)</t>
  </si>
  <si>
    <t>No. of Years</t>
  </si>
  <si>
    <t>Annual FCF     (in Rs.)</t>
  </si>
  <si>
    <t>Haircut (%)</t>
  </si>
  <si>
    <t>Net Annual FCF (In Rs.)</t>
  </si>
  <si>
    <t>Amt. 
(in Rs.)</t>
  </si>
  <si>
    <t>%age of total revenue</t>
  </si>
  <si>
    <t>Less: Household Expenses</t>
  </si>
  <si>
    <t>Current Year- Computed 23-24</t>
  </si>
  <si>
    <t>Purchase of consumables/raw material</t>
  </si>
  <si>
    <t>Business Sales/Service receipts/Rental Income/Commission</t>
  </si>
  <si>
    <t>Ration/Meal Expenses of family (Milk, Grocery, Veggies etc.)</t>
  </si>
  <si>
    <t>Previous Year-1 (22-23)</t>
  </si>
  <si>
    <t>Labour/Staff Salaries</t>
  </si>
  <si>
    <t>Other Income (Direct business)</t>
  </si>
  <si>
    <t>Kids School Fee + Admission Fee</t>
  </si>
  <si>
    <t>Previous Year-2 (21-22)</t>
  </si>
  <si>
    <t>Fuel i.e. Petrol/Diesel/Gas</t>
  </si>
  <si>
    <t>Rental (others)</t>
  </si>
  <si>
    <t>Previous Year-3 (20-21)- Post Covid effect</t>
  </si>
  <si>
    <t>Electricity Expenses</t>
  </si>
  <si>
    <t>Previous Year-4 (19-20)</t>
  </si>
  <si>
    <t>Loading/Unloading expenses</t>
  </si>
  <si>
    <t>Medical expenses (general)</t>
  </si>
  <si>
    <t>Previous Year-5 (18-19)</t>
  </si>
  <si>
    <t>Rental/ Municipality payment</t>
  </si>
  <si>
    <t>Insurance Premiums</t>
  </si>
  <si>
    <t>Total Savings/Investment in last 5 yrs</t>
  </si>
  <si>
    <t>Commission Payment</t>
  </si>
  <si>
    <t xml:space="preserve">Home Repair and Maintenance </t>
  </si>
  <si>
    <t>Other expenses (directly for bus. if any)</t>
  </si>
  <si>
    <t>Vehicle Fuel, Repair and Maintenance</t>
  </si>
  <si>
    <t>Mapping of major investment/deployment of savings in last 5 years (basis Net Annual FCF)</t>
  </si>
  <si>
    <t>Gross Margin/(Loss)</t>
  </si>
  <si>
    <t>Mobile/Telehone expenses (Other family)</t>
  </si>
  <si>
    <t>Type of major investment/savings</t>
  </si>
  <si>
    <t>Amt. (in Rs.)</t>
  </si>
  <si>
    <t>%age of total</t>
  </si>
  <si>
    <t>Other Misc. household exp.</t>
  </si>
  <si>
    <t>Bank Balance/Cash in hand</t>
  </si>
  <si>
    <t>Stationery</t>
  </si>
  <si>
    <t>Gross Profit/(Loss) (b/f)</t>
  </si>
  <si>
    <t>Total Household Expenses (B)</t>
  </si>
  <si>
    <t>Purchase of machinery for office/vehicle purchase</t>
  </si>
  <si>
    <t>Staff welfare</t>
  </si>
  <si>
    <t>FD/ Bank Saving Interest</t>
  </si>
  <si>
    <t>Plot Purchase/loan repayment/others etc.</t>
  </si>
  <si>
    <t>Admin Expenses</t>
  </si>
  <si>
    <t>Net Free Cash Flow (A-B)</t>
  </si>
  <si>
    <t>Total Savings/Investments</t>
  </si>
  <si>
    <t>Reimbursement of expenses</t>
  </si>
  <si>
    <t>Interest &amp; Bank Charges</t>
  </si>
  <si>
    <t>Other Misc. Exp.</t>
  </si>
  <si>
    <t>Net Margin/Profit or (Loss)</t>
  </si>
  <si>
    <t>Financial Sheet &amp; Analysis</t>
  </si>
  <si>
    <t>Applicant Name</t>
  </si>
  <si>
    <t>Consolidated</t>
  </si>
  <si>
    <t>YOY% Change</t>
  </si>
  <si>
    <t>PROFIT &amp; LOSS ACCOUNT</t>
  </si>
  <si>
    <t>Gross Receipts /turnover</t>
  </si>
  <si>
    <t>Other income ( incidental to business/Business income )</t>
  </si>
  <si>
    <t>TOTAL OPERATING INCOME</t>
  </si>
  <si>
    <t>Other Non-Operating Income</t>
  </si>
  <si>
    <t>TOTAL NON OPERATING INCOME</t>
  </si>
  <si>
    <t>TOTAL INCOME</t>
  </si>
  <si>
    <t>Staff Salaries</t>
  </si>
  <si>
    <t>Rent Expenses</t>
  </si>
  <si>
    <t>Administrative Expenses</t>
  </si>
  <si>
    <t>Bank and Finance Charges</t>
  </si>
  <si>
    <t>Others</t>
  </si>
  <si>
    <t>EBITDA</t>
  </si>
  <si>
    <t>Interest On Working Capital Loans</t>
  </si>
  <si>
    <t>Interest to Bank / Financial Institutions (Term Loans)</t>
  </si>
  <si>
    <t>Interest to related parties/partners/directors</t>
  </si>
  <si>
    <t>Remuneration to partners/directors</t>
  </si>
  <si>
    <t>OPERATING PROFIT</t>
  </si>
  <si>
    <t>PBT ( Incl Net of Non Operating Income/Exp)</t>
  </si>
  <si>
    <t>Tax</t>
  </si>
  <si>
    <t>PAT (as Per books)</t>
  </si>
  <si>
    <t>PAT (Excluding Non Business Income)</t>
  </si>
  <si>
    <t>CASH PROFITS (Excluding Non Business Income)</t>
  </si>
  <si>
    <t>BALANCE SHEET</t>
  </si>
  <si>
    <t>LIABILITY</t>
  </si>
  <si>
    <t>Corpus Fund/ Capital</t>
  </si>
  <si>
    <t>Excess of Income Over Expenditure</t>
  </si>
  <si>
    <t>Total Funds / Net Worth</t>
  </si>
  <si>
    <t>Unsecured loans from promoters (Considered Quasi Equity)</t>
  </si>
  <si>
    <t>Revised Net Worth</t>
  </si>
  <si>
    <t>Revaluation Reserves</t>
  </si>
  <si>
    <t>Adjusted Networth (ATNW)</t>
  </si>
  <si>
    <t>Secured Term Loans- Banks/FI</t>
  </si>
  <si>
    <t>Payable in next one year ( Installments due in next one year)</t>
  </si>
  <si>
    <t>Payable after one year</t>
  </si>
  <si>
    <t>Total Secured Loans - Banks/FI</t>
  </si>
  <si>
    <t>Bank CC/ OD</t>
  </si>
  <si>
    <t>Other Working Capital Loans</t>
  </si>
  <si>
    <t>Total Secured Loans</t>
  </si>
  <si>
    <t>Unsecured Loans from Banks/ FI / Others</t>
  </si>
  <si>
    <t>Security Deposit / Building Fund</t>
  </si>
  <si>
    <t>Total Unsecured Loans</t>
  </si>
  <si>
    <t>Creditors for Goods</t>
  </si>
  <si>
    <t>Creditors for Expenses</t>
  </si>
  <si>
    <t>Provision for Tax</t>
  </si>
  <si>
    <t>Salaries payable</t>
  </si>
  <si>
    <t>Other Liabilities</t>
  </si>
  <si>
    <t>Total Current Liabilities &amp; Provisions</t>
  </si>
  <si>
    <t>Total Bank Finance</t>
  </si>
  <si>
    <t>Total Liabilities to Outsiders</t>
  </si>
  <si>
    <t xml:space="preserve">TOTAL LIABILITIES </t>
  </si>
  <si>
    <t>ASSETS</t>
  </si>
  <si>
    <t>Gross Block</t>
  </si>
  <si>
    <t>Accumulated Depreciation</t>
  </si>
  <si>
    <t>Net Fixed Assets</t>
  </si>
  <si>
    <t>Intangible Assets(Misc Exp, DRE,Prelim Exp, Acc Losses)</t>
  </si>
  <si>
    <t>Total Fixed Assets</t>
  </si>
  <si>
    <t>Current Assets</t>
  </si>
  <si>
    <t>Receivable</t>
  </si>
  <si>
    <t>Cash and Bank</t>
  </si>
  <si>
    <t>Deposits</t>
  </si>
  <si>
    <t>Advance Income Tax/TDS</t>
  </si>
  <si>
    <t>Misc Expenses (Preop+Prelim+Acc PL) etc</t>
  </si>
  <si>
    <t>Other Current Assets</t>
  </si>
  <si>
    <t>Loans and Advances given to others (Business Related)</t>
  </si>
  <si>
    <t>NON CURRENT ASSETS ( INCL Non current Investment)</t>
  </si>
  <si>
    <t>Loan and Advances given to others (Non Business Related)</t>
  </si>
  <si>
    <t>Loan and Advances given to Associate and Group Concerns</t>
  </si>
  <si>
    <t>Advance to Suppliers of Capital Goods</t>
  </si>
  <si>
    <t>TOTAL ASSETS</t>
  </si>
  <si>
    <t>Balance Sheet Tally Check</t>
  </si>
  <si>
    <t>Key Financial Parameters (In Rs Lakhs)</t>
  </si>
  <si>
    <t>Total Operating Income</t>
  </si>
  <si>
    <t>EBITDA Margin</t>
  </si>
  <si>
    <t>Interest</t>
  </si>
  <si>
    <t>Operating Profit</t>
  </si>
  <si>
    <t>Non Operating Income</t>
  </si>
  <si>
    <t>PBT</t>
  </si>
  <si>
    <t>Tangible Net Worth</t>
  </si>
  <si>
    <t>Adjusted Tangible Net Worth</t>
  </si>
  <si>
    <t>Investments/Advances to Group Co etc</t>
  </si>
  <si>
    <t>Salaries payable (as per financials)</t>
  </si>
  <si>
    <t>Receivable (as per financials)</t>
  </si>
  <si>
    <t>Total Debt</t>
  </si>
  <si>
    <t>Total Debt/ATNW</t>
  </si>
  <si>
    <t>Interest Coverage Ratio</t>
  </si>
  <si>
    <t>Audited</t>
  </si>
  <si>
    <t>Comments on financials (If any)</t>
  </si>
  <si>
    <t>Operating Income:- .</t>
  </si>
  <si>
    <t>Non Operative Income:</t>
  </si>
  <si>
    <t xml:space="preserve">Expense:- </t>
  </si>
  <si>
    <t>Interest on Loans:-</t>
  </si>
  <si>
    <t>PAT and Cash profit:</t>
  </si>
  <si>
    <t>Net Worth/Corpus Fund:-</t>
  </si>
  <si>
    <t>Loans:-</t>
  </si>
  <si>
    <t xml:space="preserve">Other Liabilities:- </t>
  </si>
  <si>
    <t xml:space="preserve">Fixed Asset: </t>
  </si>
  <si>
    <t xml:space="preserve">Current Assets: Other current assets include Inventory </t>
  </si>
  <si>
    <t>Non Current Assets:</t>
  </si>
  <si>
    <t>Provisional</t>
  </si>
  <si>
    <t xml:space="preserve">Operating Income:- </t>
  </si>
  <si>
    <t>Current Assets:</t>
  </si>
  <si>
    <t>Bank</t>
  </si>
  <si>
    <t>Loan Type</t>
  </si>
  <si>
    <t>Sanctioned Date</t>
  </si>
  <si>
    <t xml:space="preserve">Loan Amount </t>
  </si>
  <si>
    <t>EMI</t>
  </si>
  <si>
    <t>Repayment</t>
  </si>
  <si>
    <t>Month</t>
  </si>
  <si>
    <t>Opening Balance</t>
  </si>
  <si>
    <t>Interest Due</t>
  </si>
  <si>
    <t>Principal Due</t>
  </si>
  <si>
    <t>Total Repayment
Due</t>
  </si>
  <si>
    <t>Paid</t>
  </si>
  <si>
    <t>Excess/(shortfall)</t>
  </si>
  <si>
    <t>Closing balance</t>
  </si>
  <si>
    <t xml:space="preserve">Comments on other health checks </t>
  </si>
  <si>
    <t>Yes/No</t>
  </si>
  <si>
    <t>Date of check</t>
  </si>
  <si>
    <t>Findings/Status</t>
  </si>
  <si>
    <t>Google</t>
  </si>
  <si>
    <t>Pending</t>
  </si>
  <si>
    <t xml:space="preserve">Reference </t>
  </si>
  <si>
    <t>FI</t>
  </si>
  <si>
    <t>Crimecheck</t>
  </si>
  <si>
    <t>Hunter</t>
  </si>
  <si>
    <t>RCU</t>
  </si>
  <si>
    <t>Dedupe</t>
  </si>
  <si>
    <t>PAN Check</t>
  </si>
  <si>
    <t>Aadhar Check</t>
  </si>
  <si>
    <t>CERSAI Check</t>
  </si>
  <si>
    <t>Asset Base</t>
  </si>
  <si>
    <t xml:space="preserve">Sr no. </t>
  </si>
  <si>
    <t xml:space="preserve">Type of Property </t>
  </si>
  <si>
    <t>Property Address</t>
  </si>
  <si>
    <t xml:space="preserve">Property Owner </t>
  </si>
  <si>
    <t xml:space="preserve">Property Usage </t>
  </si>
  <si>
    <t xml:space="preserve">Market value </t>
  </si>
  <si>
    <t xml:space="preserve">Mortgaged / Debt free </t>
  </si>
  <si>
    <t xml:space="preserve">Mortgaged to whom </t>
  </si>
  <si>
    <t xml:space="preserve">Total </t>
  </si>
  <si>
    <t>Deviation List</t>
  </si>
  <si>
    <t>Sr. No</t>
  </si>
  <si>
    <t>Applicable Product</t>
  </si>
  <si>
    <t>Program/ Section</t>
  </si>
  <si>
    <t xml:space="preserve">Deviation Norms </t>
  </si>
  <si>
    <t xml:space="preserve">Deviation Description </t>
  </si>
  <si>
    <t xml:space="preserve">Approving Authority </t>
  </si>
  <si>
    <t>Control</t>
  </si>
  <si>
    <t>HL/LAP</t>
  </si>
  <si>
    <t>Borrower Type</t>
  </si>
  <si>
    <t>Co-Applicant Norm</t>
  </si>
  <si>
    <t>Minimum Co-applicant norms not met</t>
  </si>
  <si>
    <t>L2</t>
  </si>
  <si>
    <t>MLAP</t>
  </si>
  <si>
    <t>Minimum Co-applicant norms (including age norms) not met</t>
  </si>
  <si>
    <t>L1</t>
  </si>
  <si>
    <t>Age Norms</t>
  </si>
  <si>
    <t>Maximum age norms not met</t>
  </si>
  <si>
    <t>L3</t>
  </si>
  <si>
    <t>Maximum age norms not met for Property owner</t>
  </si>
  <si>
    <t>All</t>
  </si>
  <si>
    <t>Work Experience Norms</t>
  </si>
  <si>
    <t>Work experience/Business Vintage norms not met (less than 2 years non deviatable)</t>
  </si>
  <si>
    <t>Qualifying Criteria</t>
  </si>
  <si>
    <t>Minimum repayment qualifying criteria not met</t>
  </si>
  <si>
    <t>LAP</t>
  </si>
  <si>
    <t>Collateral Type</t>
  </si>
  <si>
    <t>Special Usage Property (Not applicable in HL)</t>
  </si>
  <si>
    <t>Caution Profile</t>
  </si>
  <si>
    <t>Income Ownership matrix not met</t>
  </si>
  <si>
    <t>LTV Deviation</t>
  </si>
  <si>
    <t>up to 5% higher than policy norms (Not applicable for HL and MLAP)</t>
  </si>
  <si>
    <t xml:space="preserve">up to 10% higher than policy norm (but not 
breaching regulatory guidelines in case of HL- 90% for loan upto 30 lacs, 80% for 30.01 to 75 lacs and 75% for &gt;75 Lacs) </t>
  </si>
  <si>
    <t>Common Product Norms</t>
  </si>
  <si>
    <t>Minimum Income Norms</t>
  </si>
  <si>
    <t>Minimum income norms not met</t>
  </si>
  <si>
    <t xml:space="preserve">Disbursement Norms </t>
  </si>
  <si>
    <t>Disbursement Norms not met</t>
  </si>
  <si>
    <t>Geo Limit norms</t>
  </si>
  <si>
    <t>Geo limit norms not met</t>
  </si>
  <si>
    <t>Common Underwriting Norms</t>
  </si>
  <si>
    <t>Field Investigation</t>
  </si>
  <si>
    <t>Field Investigation negative</t>
  </si>
  <si>
    <t>Clubbing of Income</t>
  </si>
  <si>
    <t>Clubbing of income norms not met</t>
  </si>
  <si>
    <t xml:space="preserve">Minimum Bureau Score </t>
  </si>
  <si>
    <t>Negative CIR (CIBIL/CRIF/Experian/Highmark/Equifax )</t>
  </si>
  <si>
    <t>Personal Discussion Norms</t>
  </si>
  <si>
    <t>Personal Discussion norms not met</t>
  </si>
  <si>
    <t>RTR norms</t>
  </si>
  <si>
    <t>RTR Norms not met</t>
  </si>
  <si>
    <t>Credit Product Program</t>
  </si>
  <si>
    <t>Banking Turnover Ratio</t>
  </si>
  <si>
    <t>Banking turnover ratio norms not met</t>
  </si>
  <si>
    <t>Banking norms</t>
  </si>
  <si>
    <t>Banking norms not met</t>
  </si>
  <si>
    <t>ABB:EMI</t>
  </si>
  <si>
    <t>ABB:EMI up to 1 times</t>
  </si>
  <si>
    <t>Salaried/ Self Employed Income Program</t>
  </si>
  <si>
    <t>Documentation</t>
  </si>
  <si>
    <t>Documentation norms not met</t>
  </si>
  <si>
    <t>up to 5% higher than policy norms</t>
  </si>
  <si>
    <t>&gt;5% up to 10% higher than policy norm</t>
  </si>
  <si>
    <t>up to 10% higher than policy norms</t>
  </si>
  <si>
    <t>Income Program</t>
  </si>
  <si>
    <t>Income Norms</t>
  </si>
  <si>
    <t>Loan eligibility to be computed basis latest year (where PAT and Depreciation &gt;20% of previous year)</t>
  </si>
  <si>
    <t>ABB:EMI upto 1.75 times</t>
  </si>
  <si>
    <t>Banking Norms</t>
  </si>
  <si>
    <t>Banking Norms Not met</t>
  </si>
  <si>
    <t>FOIR Norms</t>
  </si>
  <si>
    <t>Gross Receipts program - Doctors</t>
  </si>
  <si>
    <t>Work experience norms not met (less than 1 years non deviatable)</t>
  </si>
  <si>
    <t>ABB:EMI upto 0.75 times</t>
  </si>
  <si>
    <t>Multiplier</t>
  </si>
  <si>
    <t>up to 0.5 times higher than norms (not to exceed 3)</t>
  </si>
  <si>
    <t>Gross Receipts program - Doctors / GST or GTP program</t>
  </si>
  <si>
    <t>Other Evaluation Parameters</t>
  </si>
  <si>
    <t>Evaluation parameters not met</t>
  </si>
  <si>
    <t>RTR program</t>
  </si>
  <si>
    <t>Program Norms</t>
  </si>
  <si>
    <t>RTR program norms not met</t>
  </si>
  <si>
    <t>Out of Policy</t>
  </si>
  <si>
    <t>Out of Policy Deviation</t>
  </si>
  <si>
    <t>Profile</t>
  </si>
  <si>
    <t>Negative &amp; Caution 
Profile</t>
  </si>
  <si>
    <t>PEP under Cohort 3 &amp; 4 or Caution Profile</t>
  </si>
  <si>
    <t>Deviation From Exclusion List</t>
  </si>
  <si>
    <t>Credit Committee -Exclusion List</t>
  </si>
  <si>
    <t>CIR Deviations Description</t>
  </si>
  <si>
    <t>OD reflecting in CIR which is more than 3 years prior to CIR date</t>
  </si>
  <si>
    <t>No Deviation</t>
  </si>
  <si>
    <t>OD not exceeding Rs. 2 lacs in aggregate in Credit Card, Kisan Credit Card (KCC) and Agri loans</t>
  </si>
  <si>
    <t>Write-off/Settled on Credit Card/KCC/Agri Loans up to Rs. 25000 in aggregate</t>
  </si>
  <si>
    <t>Bureau overdue in live trade lines greater than Rs.7500</t>
  </si>
  <si>
    <t xml:space="preserve">Loans in 90 DPD or more in last 12 months (excluding KCC, gold loan) </t>
  </si>
  <si>
    <t>Cannot be deviated</t>
  </si>
  <si>
    <t>Account with derogatory bureau trade in the last 36 months
Derogatory Bureau Trade:
 Substandard Doubtful or Loss asset
 Wilful Default and/or suit filed
 Written off and/or account sold</t>
  </si>
  <si>
    <t>Account Reported as wilful defaulter</t>
  </si>
  <si>
    <t>CIBIL Credit Vision Score (V3) less than 700 up to 675 of the primary 2 co -applicants and owner of collatera</t>
  </si>
  <si>
    <t>CIBIL Credit Vision Score (V3) less than 675 up to 625 of the primary 2 co-applicants and owner of collateral</t>
  </si>
  <si>
    <t xml:space="preserve">CIBIL Credit Vision Score (V3) less than 625* of the primary 2 co-applicants and owner of collateral </t>
  </si>
  <si>
    <t>Matrix for Negative FI approval</t>
  </si>
  <si>
    <t>Category 1</t>
  </si>
  <si>
    <t>Reason for negative Field Verification</t>
  </si>
  <si>
    <t>Residence cum office (where no business setup seen) s/t Positive PD by CM</t>
  </si>
  <si>
    <t>Negative Area subject to good repayment track or collections comfort mail</t>
  </si>
  <si>
    <t>Applicant or family member not Met</t>
  </si>
  <si>
    <t>Door locked, subject to positive resi &amp; office TVR done by CM and TPC to be confirmed</t>
  </si>
  <si>
    <t xml:space="preserve">Profile mismatch </t>
  </si>
  <si>
    <t>Poor living conditions</t>
  </si>
  <si>
    <t>Address not traceable/ does not exist basis employee verification</t>
  </si>
  <si>
    <t>Category 2</t>
  </si>
  <si>
    <t>Defaulter/ Bad market reputation</t>
  </si>
  <si>
    <t>Person does not exist</t>
  </si>
  <si>
    <t>Not deviatable</t>
  </si>
  <si>
    <t>Negative neighbourhood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</si>
</sst>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_(* #,##0.00_);_(* \(#,##0.00\);_(* \-??_);_(@_)"/>
    <numFmt numFmtId="165" formatCode="_(* #,##0.00000_);_(* \(#,##0.00000\);_(* \-??_);_(@_)"/>
    <numFmt numFmtId="166" formatCode="0\%"/>
    <numFmt numFmtId="167" formatCode="0.0%"/>
    <numFmt numFmtId="168" formatCode="[$₹-439]#,##0.00"/>
    <numFmt numFmtId="169" formatCode="[$-409]mmm\-yy;@"/>
    <numFmt numFmtId="170" formatCode="_(* #,##0_);_(* \(#,##0\);_(* \-??_);_(@_)"/>
    <numFmt numFmtId="171" formatCode="mmm\-yy;@"/>
    <numFmt numFmtId="172" formatCode="[$-409]d/mmm/yy;@"/>
    <numFmt numFmtId="173" formatCode="_ * #,##0_ ;_ * \-#,##0_ ;_ * \-??_ ;_ @_ "/>
    <numFmt numFmtId="174" formatCode="_ * #,##0.00_ ;_ * \-#,##0.00_ ;_ * \-??.00_ ;_ @_ "/>
    <numFmt numFmtId="175" formatCode="0.00_ "/>
    <numFmt numFmtId="176" formatCode="_ * #,##0.00_ ;_ * \-#,##0.00_ ;_ * \-??_ ;_ @_ "/>
    <numFmt numFmtId="177" formatCode="##\ ##\ ##\ ##\ ###"/>
    <numFmt numFmtId="178" formatCode="d\ mmm\ yy"/>
    <numFmt numFmtId="179" formatCode="[$-409]d\-mmm\-yy;@"/>
  </numFmts>
  <fonts count="36" x14ac:knownFonts="1">
    <font>
      <sz val="11"/>
      <color theme="1"/>
      <name val="Calibri"/>
      <family val="2"/>
      <charset val="1"/>
    </font>
    <font>
      <sz val="11"/>
      <name val="Calibri"/>
      <family val="2"/>
      <charset val="1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6"/>
      <color rgb="FFFFFFFF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sz val="10"/>
      <name val="Arial"/>
      <family val="2"/>
    </font>
    <font>
      <b/>
      <sz val="14"/>
      <color rgb="FFFFFFFF"/>
      <name val="Calibri"/>
      <charset val="1"/>
    </font>
    <font>
      <b/>
      <sz val="12"/>
      <color theme="1"/>
      <name val="Calibri"/>
      <family val="2"/>
      <charset val="1"/>
    </font>
    <font>
      <i/>
      <sz val="9"/>
      <color rgb="FF595959"/>
      <name val="Calibri"/>
      <charset val="1"/>
    </font>
    <font>
      <b/>
      <sz val="11"/>
      <color theme="1"/>
      <name val="Calibri"/>
      <family val="2"/>
      <charset val="1"/>
    </font>
    <font>
      <b/>
      <sz val="11"/>
      <color rgb="FF1F3864"/>
      <name val="Calibri"/>
      <charset val="1"/>
    </font>
    <font>
      <b/>
      <sz val="10"/>
      <color rgb="FF1F3864"/>
      <name val="Calibri"/>
      <charset val="1"/>
    </font>
    <font>
      <sz val="10"/>
      <name val="Calibri"/>
      <charset val="1"/>
    </font>
    <font>
      <i/>
      <sz val="8"/>
      <color rgb="FF7F7F7F"/>
      <name val="Calibri"/>
      <charset val="1"/>
    </font>
    <font>
      <b/>
      <sz val="11"/>
      <color rgb="FF000000"/>
      <name val="Calibri"/>
      <family val="2"/>
      <charset val="1"/>
    </font>
    <font>
      <b/>
      <sz val="10"/>
      <name val="Calibri"/>
      <charset val="1"/>
    </font>
    <font>
      <b/>
      <sz val="11"/>
      <name val="Calibri"/>
      <family val="2"/>
      <charset val="1"/>
    </font>
    <font>
      <b/>
      <sz val="10"/>
      <name val="Arial"/>
      <family val="2"/>
      <charset val="1"/>
    </font>
    <font>
      <b/>
      <u/>
      <sz val="11"/>
      <color theme="1"/>
      <name val="Calibri"/>
      <family val="2"/>
      <charset val="1"/>
    </font>
    <font>
      <b/>
      <sz val="10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b/>
      <sz val="14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11"/>
      <color rgb="FFFF0000"/>
      <name val="Calibri"/>
      <family val="2"/>
      <charset val="1"/>
    </font>
    <font>
      <b/>
      <i/>
      <sz val="11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b/>
      <sz val="14"/>
      <color rgb="FFFF0000"/>
      <name val="Calibri"/>
      <family val="2"/>
      <charset val="1"/>
    </font>
    <font>
      <b/>
      <u/>
      <sz val="11"/>
      <name val="Calibri"/>
      <family val="2"/>
      <charset val="1"/>
    </font>
    <font>
      <b/>
      <u/>
      <sz val="11"/>
      <color rgb="FF000000"/>
      <name val="Calibri"/>
      <family val="2"/>
      <charset val="1"/>
    </font>
    <font>
      <sz val="10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254061"/>
      </patternFill>
    </fill>
    <fill>
      <patternFill patternType="solid">
        <fgColor rgb="FFD9E1F2"/>
        <bgColor rgb="FFDCE6F2"/>
      </patternFill>
    </fill>
    <fill>
      <patternFill patternType="solid">
        <fgColor rgb="FF2E5395"/>
        <bgColor rgb="FF254061"/>
      </patternFill>
    </fill>
    <fill>
      <patternFill patternType="solid">
        <fgColor rgb="FFF2F2F2"/>
        <bgColor rgb="FFE2EFDA"/>
      </patternFill>
    </fill>
    <fill>
      <patternFill patternType="solid">
        <fgColor rgb="FFD9D9D9"/>
        <bgColor rgb="FFD9E1F2"/>
      </patternFill>
    </fill>
    <fill>
      <patternFill patternType="solid">
        <fgColor theme="0"/>
        <bgColor rgb="FFF2F2F2"/>
      </patternFill>
    </fill>
    <fill>
      <patternFill patternType="solid">
        <fgColor rgb="FFDCE6F1"/>
        <bgColor rgb="FFDCE6F2"/>
      </patternFill>
    </fill>
    <fill>
      <patternFill patternType="solid">
        <fgColor theme="1" tint="0.49989318521683401"/>
        <bgColor rgb="FF808080"/>
      </patternFill>
    </fill>
    <fill>
      <patternFill patternType="solid">
        <fgColor rgb="FFBFBFBF"/>
        <bgColor rgb="FFB7B7B7"/>
      </patternFill>
    </fill>
    <fill>
      <patternFill patternType="solid">
        <fgColor rgb="FFDCE6F2"/>
        <bgColor rgb="FFDCE6F1"/>
      </patternFill>
    </fill>
    <fill>
      <patternFill patternType="solid">
        <fgColor rgb="FF254061"/>
        <bgColor rgb="FF1F3864"/>
      </patternFill>
    </fill>
  </fills>
  <borders count="4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0">
    <xf numFmtId="0" fontId="0" fillId="0" borderId="0"/>
    <xf numFmtId="164" fontId="35" fillId="0" borderId="0"/>
    <xf numFmtId="9" fontId="35" fillId="0" borderId="0"/>
    <xf numFmtId="164" fontId="1" fillId="0" borderId="0"/>
    <xf numFmtId="165" fontId="2" fillId="0" borderId="0"/>
    <xf numFmtId="164" fontId="2" fillId="0" borderId="0"/>
    <xf numFmtId="0" fontId="2" fillId="0" borderId="0"/>
    <xf numFmtId="0" fontId="1" fillId="0" borderId="0"/>
    <xf numFmtId="0" fontId="3" fillId="0" borderId="0"/>
    <xf numFmtId="9" fontId="2" fillId="0" borderId="0"/>
  </cellStyleXfs>
  <cellXfs count="436">
    <xf numFmtId="0" fontId="0" fillId="0" borderId="0" xfId="0"/>
    <xf numFmtId="0" fontId="0" fillId="0" borderId="5" xfId="0" applyBorder="1" applyAlignment="1" applyProtection="1">
      <alignment horizontal="center" vertical="center" wrapText="1"/>
      <protection locked="0"/>
    </xf>
    <xf numFmtId="0" fontId="13" fillId="7" borderId="3" xfId="0" applyFont="1" applyFill="1" applyBorder="1" applyAlignment="1">
      <alignment horizontal="center" vertical="center" wrapText="1"/>
    </xf>
    <xf numFmtId="0" fontId="13" fillId="6" borderId="3" xfId="0" applyFont="1" applyFill="1" applyBorder="1" applyAlignment="1">
      <alignment horizontal="left" vertical="center" wrapText="1"/>
    </xf>
    <xf numFmtId="0" fontId="17" fillId="0" borderId="2" xfId="0" applyFont="1" applyBorder="1" applyAlignment="1">
      <alignment horizontal="left" vertical="center" indent="1"/>
    </xf>
    <xf numFmtId="0" fontId="15" fillId="8" borderId="2" xfId="0" applyFont="1" applyFill="1" applyBorder="1" applyAlignment="1">
      <alignment horizontal="center" vertical="center" wrapText="1"/>
    </xf>
    <xf numFmtId="0" fontId="13" fillId="7" borderId="3" xfId="0" applyFont="1" applyFill="1" applyBorder="1" applyAlignment="1" applyProtection="1">
      <alignment horizontal="center" vertical="center" wrapText="1"/>
      <protection locked="0"/>
    </xf>
    <xf numFmtId="0" fontId="14" fillId="6" borderId="2" xfId="0" applyFont="1" applyFill="1" applyBorder="1" applyAlignment="1">
      <alignment horizontal="left" vertical="center" indent="1"/>
    </xf>
    <xf numFmtId="14" fontId="13" fillId="7" borderId="3" xfId="0" applyNumberFormat="1" applyFont="1" applyFill="1" applyBorder="1" applyAlignment="1" applyProtection="1">
      <alignment horizontal="center" vertical="center" wrapText="1"/>
      <protection locked="0"/>
    </xf>
    <xf numFmtId="0" fontId="13" fillId="6" borderId="3" xfId="0" applyFont="1" applyFill="1" applyBorder="1" applyAlignment="1">
      <alignment vertical="center" wrapText="1"/>
    </xf>
    <xf numFmtId="0" fontId="13" fillId="7" borderId="3" xfId="0" applyFont="1" applyFill="1" applyBorder="1" applyAlignment="1" applyProtection="1">
      <alignment horizontal="left" vertical="center" wrapText="1"/>
      <protection locked="0"/>
    </xf>
    <xf numFmtId="0" fontId="11" fillId="7" borderId="3" xfId="0" applyFont="1" applyFill="1" applyBorder="1" applyAlignment="1" applyProtection="1">
      <alignment horizontal="center" vertical="center" wrapText="1"/>
      <protection locked="0"/>
    </xf>
    <xf numFmtId="0" fontId="12" fillId="0" borderId="0" xfId="0" applyFont="1" applyAlignment="1">
      <alignment horizontal="left" vertical="center" wrapText="1"/>
    </xf>
    <xf numFmtId="0" fontId="11" fillId="6" borderId="3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166" fontId="7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166" fontId="7" fillId="5" borderId="1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13" fillId="6" borderId="3" xfId="0" applyFont="1" applyFill="1" applyBorder="1" applyAlignment="1">
      <alignment vertical="center" wrapText="1"/>
    </xf>
    <xf numFmtId="0" fontId="13" fillId="6" borderId="4" xfId="0" applyFont="1" applyFill="1" applyBorder="1" applyAlignment="1">
      <alignment vertical="center" wrapText="1"/>
    </xf>
    <xf numFmtId="0" fontId="15" fillId="8" borderId="2" xfId="0" applyFont="1" applyFill="1" applyBorder="1" applyAlignment="1">
      <alignment horizontal="center" vertical="center" wrapText="1"/>
    </xf>
    <xf numFmtId="0" fontId="16" fillId="0" borderId="2" xfId="0" applyFont="1" applyBorder="1" applyAlignment="1">
      <alignment horizontal="left" vertical="center" wrapText="1" indent="1"/>
    </xf>
    <xf numFmtId="4" fontId="15" fillId="0" borderId="2" xfId="0" applyNumberFormat="1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3" fillId="6" borderId="3" xfId="0" applyFont="1" applyFill="1" applyBorder="1" applyAlignment="1">
      <alignment horizontal="left" vertical="center" wrapText="1"/>
    </xf>
    <xf numFmtId="0" fontId="13" fillId="5" borderId="3" xfId="0" applyFont="1" applyFill="1" applyBorder="1" applyAlignment="1">
      <alignment horizontal="center" vertical="center" wrapText="1"/>
    </xf>
    <xf numFmtId="0" fontId="18" fillId="5" borderId="3" xfId="0" applyFont="1" applyFill="1" applyBorder="1" applyAlignment="1">
      <alignment vertical="center" wrapText="1"/>
    </xf>
    <xf numFmtId="0" fontId="18" fillId="5" borderId="3" xfId="0" applyFont="1" applyFill="1" applyBorder="1" applyAlignment="1">
      <alignment vertical="center"/>
    </xf>
    <xf numFmtId="0" fontId="2" fillId="5" borderId="3" xfId="0" applyFont="1" applyFill="1" applyBorder="1" applyAlignment="1">
      <alignment vertical="center" wrapText="1"/>
    </xf>
    <xf numFmtId="0" fontId="2" fillId="5" borderId="3" xfId="0" applyFont="1" applyFill="1" applyBorder="1" applyAlignment="1">
      <alignment horizontal="center" vertical="center" wrapText="1"/>
    </xf>
    <xf numFmtId="2" fontId="15" fillId="0" borderId="2" xfId="0" applyNumberFormat="1" applyFont="1" applyBorder="1" applyAlignment="1">
      <alignment horizontal="center" vertical="center" wrapText="1"/>
    </xf>
    <xf numFmtId="1" fontId="15" fillId="0" borderId="2" xfId="0" applyNumberFormat="1" applyFont="1" applyBorder="1" applyAlignment="1">
      <alignment horizontal="center" vertical="center" wrapText="1"/>
    </xf>
    <xf numFmtId="3" fontId="15" fillId="0" borderId="2" xfId="0" applyNumberFormat="1" applyFont="1" applyBorder="1" applyAlignment="1">
      <alignment horizontal="center" vertical="center" wrapText="1"/>
    </xf>
    <xf numFmtId="167" fontId="15" fillId="0" borderId="2" xfId="0" applyNumberFormat="1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2" fontId="16" fillId="0" borderId="2" xfId="0" applyNumberFormat="1" applyFont="1" applyBorder="1" applyAlignment="1">
      <alignment horizontal="center" vertical="center" wrapText="1"/>
    </xf>
    <xf numFmtId="4" fontId="16" fillId="0" borderId="2" xfId="0" applyNumberFormat="1" applyFont="1" applyBorder="1" applyAlignment="1">
      <alignment horizontal="center" vertical="center" wrapText="1"/>
    </xf>
    <xf numFmtId="0" fontId="0" fillId="5" borderId="6" xfId="0" applyFill="1" applyBorder="1" applyAlignment="1">
      <alignment vertical="center" wrapText="1"/>
    </xf>
    <xf numFmtId="0" fontId="13" fillId="6" borderId="7" xfId="0" applyFont="1" applyFill="1" applyBorder="1" applyAlignment="1">
      <alignment vertical="center" wrapText="1"/>
    </xf>
    <xf numFmtId="0" fontId="0" fillId="7" borderId="6" xfId="0" applyFill="1" applyBorder="1" applyAlignment="1" applyProtection="1">
      <alignment vertical="center" wrapText="1"/>
      <protection locked="0"/>
    </xf>
    <xf numFmtId="0" fontId="13" fillId="6" borderId="6" xfId="0" applyFont="1" applyFill="1" applyBorder="1" applyAlignment="1">
      <alignment vertical="center" wrapText="1"/>
    </xf>
    <xf numFmtId="0" fontId="20" fillId="6" borderId="3" xfId="0" applyFont="1" applyFill="1" applyBorder="1" applyAlignment="1">
      <alignment vertical="center" wrapText="1"/>
    </xf>
    <xf numFmtId="0" fontId="16" fillId="0" borderId="2" xfId="0" applyFont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center" vertical="center" wrapText="1"/>
    </xf>
    <xf numFmtId="0" fontId="13" fillId="5" borderId="6" xfId="0" applyFont="1" applyFill="1" applyBorder="1" applyAlignment="1">
      <alignment horizontal="center" vertical="center" wrapText="1"/>
    </xf>
    <xf numFmtId="9" fontId="13" fillId="5" borderId="3" xfId="0" applyNumberFormat="1" applyFont="1" applyFill="1" applyBorder="1" applyAlignment="1">
      <alignment horizontal="center" vertical="center" wrapText="1"/>
    </xf>
    <xf numFmtId="0" fontId="0" fillId="7" borderId="3" xfId="0" applyFill="1" applyBorder="1" applyAlignment="1" applyProtection="1">
      <alignment horizontal="left" vertical="center" wrapText="1"/>
      <protection locked="0"/>
    </xf>
    <xf numFmtId="0" fontId="21" fillId="7" borderId="10" xfId="0" applyFont="1" applyFill="1" applyBorder="1"/>
    <xf numFmtId="0" fontId="21" fillId="7" borderId="8" xfId="0" applyFont="1" applyFill="1" applyBorder="1" applyAlignment="1">
      <alignment wrapText="1"/>
    </xf>
    <xf numFmtId="0" fontId="21" fillId="7" borderId="4" xfId="0" applyFont="1" applyFill="1" applyBorder="1" applyAlignment="1">
      <alignment wrapText="1"/>
    </xf>
    <xf numFmtId="0" fontId="21" fillId="7" borderId="10" xfId="0" applyFont="1" applyFill="1" applyBorder="1" applyAlignment="1">
      <alignment wrapText="1"/>
    </xf>
    <xf numFmtId="0" fontId="0" fillId="0" borderId="3" xfId="0" applyBorder="1" applyAlignment="1" applyProtection="1">
      <alignment horizontal="center"/>
      <protection locked="0"/>
    </xf>
    <xf numFmtId="0" fontId="13" fillId="6" borderId="3" xfId="0" applyFont="1" applyFill="1" applyBorder="1" applyAlignment="1">
      <alignment horizontal="center" vertical="center" wrapText="1"/>
    </xf>
    <xf numFmtId="0" fontId="20" fillId="5" borderId="3" xfId="0" applyFont="1" applyFill="1" applyBorder="1" applyAlignment="1">
      <alignment horizontal="center" vertical="center" wrapText="1"/>
    </xf>
    <xf numFmtId="0" fontId="13" fillId="5" borderId="3" xfId="0" applyFont="1" applyFill="1" applyBorder="1" applyAlignment="1">
      <alignment horizontal="center"/>
    </xf>
    <xf numFmtId="0" fontId="0" fillId="5" borderId="3" xfId="0" applyFill="1" applyBorder="1" applyAlignment="1">
      <alignment horizontal="left" wrapText="1"/>
    </xf>
    <xf numFmtId="0" fontId="13" fillId="6" borderId="11" xfId="0" applyFont="1" applyFill="1" applyBorder="1" applyAlignment="1">
      <alignment horizontal="center" vertical="center" wrapText="1"/>
    </xf>
    <xf numFmtId="0" fontId="0" fillId="0" borderId="0" xfId="0" applyProtection="1">
      <protection hidden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164" fontId="35" fillId="0" borderId="3" xfId="1" applyBorder="1" applyAlignment="1">
      <alignment vertical="center"/>
    </xf>
    <xf numFmtId="0" fontId="0" fillId="5" borderId="3" xfId="0" applyFill="1" applyBorder="1" applyAlignment="1">
      <alignment vertical="center"/>
    </xf>
    <xf numFmtId="9" fontId="35" fillId="0" borderId="3" xfId="2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3" xfId="0" applyBorder="1"/>
    <xf numFmtId="9" fontId="35" fillId="5" borderId="3" xfId="2" applyFill="1" applyBorder="1" applyAlignment="1">
      <alignment vertical="center"/>
    </xf>
    <xf numFmtId="0" fontId="0" fillId="0" borderId="0" xfId="0" applyAlignment="1">
      <alignment horizontal="center"/>
    </xf>
    <xf numFmtId="0" fontId="13" fillId="0" borderId="3" xfId="0" applyFont="1" applyBorder="1"/>
    <xf numFmtId="0" fontId="13" fillId="0" borderId="3" xfId="0" applyFont="1" applyBorder="1" applyAlignment="1">
      <alignment horizontal="center"/>
    </xf>
    <xf numFmtId="169" fontId="0" fillId="0" borderId="3" xfId="0" applyNumberFormat="1" applyBorder="1"/>
    <xf numFmtId="1" fontId="0" fillId="0" borderId="3" xfId="0" applyNumberFormat="1" applyBorder="1" applyAlignment="1">
      <alignment horizontal="center"/>
    </xf>
    <xf numFmtId="0" fontId="13" fillId="6" borderId="13" xfId="0" applyFont="1" applyFill="1" applyBorder="1"/>
    <xf numFmtId="0" fontId="13" fillId="6" borderId="9" xfId="0" applyFont="1" applyFill="1" applyBorder="1"/>
    <xf numFmtId="0" fontId="13" fillId="6" borderId="4" xfId="0" applyFont="1" applyFill="1" applyBorder="1" applyAlignment="1">
      <alignment wrapText="1"/>
    </xf>
    <xf numFmtId="0" fontId="13" fillId="7" borderId="9" xfId="0" applyFont="1" applyFill="1" applyBorder="1" applyProtection="1">
      <protection locked="0"/>
    </xf>
    <xf numFmtId="0" fontId="13" fillId="6" borderId="14" xfId="0" applyFont="1" applyFill="1" applyBorder="1"/>
    <xf numFmtId="0" fontId="13" fillId="6" borderId="15" xfId="0" applyFont="1" applyFill="1" applyBorder="1"/>
    <xf numFmtId="0" fontId="13" fillId="6" borderId="17" xfId="0" applyFont="1" applyFill="1" applyBorder="1" applyAlignment="1">
      <alignment wrapText="1"/>
    </xf>
    <xf numFmtId="0" fontId="13" fillId="6" borderId="18" xfId="0" applyFont="1" applyFill="1" applyBorder="1" applyAlignment="1">
      <alignment wrapText="1"/>
    </xf>
    <xf numFmtId="170" fontId="13" fillId="6" borderId="9" xfId="1" applyNumberFormat="1" applyFont="1" applyFill="1" applyBorder="1"/>
    <xf numFmtId="0" fontId="13" fillId="6" borderId="21" xfId="0" applyFont="1" applyFill="1" applyBorder="1" applyAlignment="1">
      <alignment wrapText="1"/>
    </xf>
    <xf numFmtId="0" fontId="0" fillId="6" borderId="22" xfId="0" applyFill="1" applyBorder="1" applyAlignment="1">
      <alignment wrapText="1"/>
    </xf>
    <xf numFmtId="10" fontId="13" fillId="7" borderId="9" xfId="2" applyNumberFormat="1" applyFont="1" applyFill="1" applyBorder="1" applyProtection="1">
      <protection locked="0"/>
    </xf>
    <xf numFmtId="0" fontId="0" fillId="6" borderId="23" xfId="0" applyFill="1" applyBorder="1"/>
    <xf numFmtId="0" fontId="0" fillId="6" borderId="24" xfId="0" applyFill="1" applyBorder="1"/>
    <xf numFmtId="0" fontId="13" fillId="6" borderId="25" xfId="0" applyFont="1" applyFill="1" applyBorder="1" applyAlignment="1">
      <alignment wrapText="1"/>
    </xf>
    <xf numFmtId="0" fontId="0" fillId="6" borderId="26" xfId="0" applyFill="1" applyBorder="1" applyAlignment="1">
      <alignment wrapText="1"/>
    </xf>
    <xf numFmtId="164" fontId="13" fillId="6" borderId="25" xfId="1" applyFont="1" applyFill="1" applyBorder="1"/>
    <xf numFmtId="0" fontId="13" fillId="6" borderId="27" xfId="0" applyFont="1" applyFill="1" applyBorder="1"/>
    <xf numFmtId="0" fontId="13" fillId="6" borderId="28" xfId="0" applyFont="1" applyFill="1" applyBorder="1"/>
    <xf numFmtId="0" fontId="13" fillId="6" borderId="28" xfId="0" applyFont="1" applyFill="1" applyBorder="1" applyAlignment="1">
      <alignment wrapText="1"/>
    </xf>
    <xf numFmtId="0" fontId="13" fillId="6" borderId="29" xfId="0" applyFont="1" applyFill="1" applyBorder="1"/>
    <xf numFmtId="0" fontId="13" fillId="6" borderId="29" xfId="0" applyFont="1" applyFill="1" applyBorder="1" applyAlignment="1">
      <alignment wrapText="1"/>
    </xf>
    <xf numFmtId="0" fontId="13" fillId="6" borderId="30" xfId="0" applyFont="1" applyFill="1" applyBorder="1" applyAlignment="1">
      <alignment wrapText="1"/>
    </xf>
    <xf numFmtId="171" fontId="13" fillId="7" borderId="28" xfId="0" applyNumberFormat="1" applyFont="1" applyFill="1" applyBorder="1" applyProtection="1">
      <protection locked="0"/>
    </xf>
    <xf numFmtId="171" fontId="13" fillId="6" borderId="28" xfId="0" applyNumberFormat="1" applyFont="1" applyFill="1" applyBorder="1"/>
    <xf numFmtId="171" fontId="13" fillId="6" borderId="31" xfId="0" applyNumberFormat="1" applyFont="1" applyFill="1" applyBorder="1"/>
    <xf numFmtId="171" fontId="0" fillId="0" borderId="0" xfId="0" applyNumberFormat="1"/>
    <xf numFmtId="0" fontId="0" fillId="0" borderId="32" xfId="0" applyBorder="1" applyProtection="1">
      <protection locked="0"/>
    </xf>
    <xf numFmtId="0" fontId="0" fillId="0" borderId="3" xfId="0" applyBorder="1" applyProtection="1">
      <protection locked="0"/>
    </xf>
    <xf numFmtId="0" fontId="0" fillId="0" borderId="8" xfId="0" applyBorder="1" applyProtection="1">
      <protection locked="0"/>
    </xf>
    <xf numFmtId="15" fontId="0" fillId="0" borderId="3" xfId="0" applyNumberFormat="1" applyBorder="1" applyProtection="1">
      <protection locked="0"/>
    </xf>
    <xf numFmtId="15" fontId="0" fillId="0" borderId="8" xfId="0" applyNumberFormat="1" applyBorder="1" applyProtection="1">
      <protection locked="0"/>
    </xf>
    <xf numFmtId="0" fontId="0" fillId="5" borderId="8" xfId="0" applyFill="1" applyBorder="1"/>
    <xf numFmtId="0" fontId="0" fillId="0" borderId="33" xfId="0" applyBorder="1" applyProtection="1">
      <protection locked="0"/>
    </xf>
    <xf numFmtId="0" fontId="0" fillId="5" borderId="3" xfId="0" applyFill="1" applyBorder="1"/>
    <xf numFmtId="0" fontId="0" fillId="0" borderId="9" xfId="0" applyBorder="1" applyProtection="1">
      <protection locked="0"/>
    </xf>
    <xf numFmtId="0" fontId="0" fillId="0" borderId="13" xfId="0" applyBorder="1" applyProtection="1">
      <protection locked="0"/>
    </xf>
    <xf numFmtId="0" fontId="0" fillId="0" borderId="14" xfId="0" applyBorder="1" applyProtection="1">
      <protection locked="0"/>
    </xf>
    <xf numFmtId="0" fontId="0" fillId="0" borderId="34" xfId="0" applyBorder="1" applyProtection="1">
      <protection locked="0"/>
    </xf>
    <xf numFmtId="0" fontId="0" fillId="5" borderId="34" xfId="0" applyFill="1" applyBorder="1"/>
    <xf numFmtId="0" fontId="0" fillId="0" borderId="15" xfId="0" applyBorder="1" applyProtection="1">
      <protection locked="0"/>
    </xf>
    <xf numFmtId="0" fontId="13" fillId="6" borderId="3" xfId="0" applyFont="1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164" fontId="0" fillId="5" borderId="3" xfId="0" applyNumberFormat="1" applyFill="1" applyBorder="1" applyAlignment="1">
      <alignment horizontal="center" vertical="center"/>
    </xf>
    <xf numFmtId="2" fontId="0" fillId="5" borderId="3" xfId="0" applyNumberFormat="1" applyFill="1" applyBorder="1" applyAlignment="1">
      <alignment horizontal="center" vertical="center"/>
    </xf>
    <xf numFmtId="2" fontId="35" fillId="5" borderId="3" xfId="1" applyNumberFormat="1" applyFill="1" applyBorder="1" applyAlignment="1">
      <alignment horizontal="center" vertical="center"/>
    </xf>
    <xf numFmtId="10" fontId="35" fillId="5" borderId="3" xfId="2" applyNumberFormat="1" applyFill="1" applyBorder="1" applyAlignment="1">
      <alignment horizontal="center" vertical="center"/>
    </xf>
    <xf numFmtId="2" fontId="13" fillId="6" borderId="3" xfId="0" applyNumberFormat="1" applyFont="1" applyFill="1" applyBorder="1" applyAlignment="1">
      <alignment horizontal="center" vertical="center"/>
    </xf>
    <xf numFmtId="10" fontId="20" fillId="6" borderId="3" xfId="0" applyNumberFormat="1" applyFont="1" applyFill="1" applyBorder="1" applyAlignment="1" applyProtection="1">
      <alignment horizontal="center" vertical="center"/>
      <protection hidden="1"/>
    </xf>
    <xf numFmtId="9" fontId="13" fillId="6" borderId="3" xfId="2" applyFont="1" applyFill="1" applyBorder="1" applyAlignment="1">
      <alignment horizontal="center" vertical="center"/>
    </xf>
    <xf numFmtId="0" fontId="20" fillId="6" borderId="3" xfId="0" applyFont="1" applyFill="1" applyBorder="1"/>
    <xf numFmtId="0" fontId="1" fillId="7" borderId="3" xfId="0" applyFont="1" applyFill="1" applyBorder="1" applyAlignment="1" applyProtection="1">
      <alignment horizontal="center" wrapText="1"/>
      <protection locked="0"/>
    </xf>
    <xf numFmtId="2" fontId="0" fillId="0" borderId="0" xfId="0" applyNumberFormat="1"/>
    <xf numFmtId="10" fontId="0" fillId="0" borderId="0" xfId="0" applyNumberFormat="1"/>
    <xf numFmtId="164" fontId="20" fillId="6" borderId="3" xfId="1" applyFont="1" applyFill="1" applyBorder="1" applyAlignment="1" applyProtection="1">
      <alignment horizontal="center" vertical="top"/>
      <protection hidden="1"/>
    </xf>
    <xf numFmtId="0" fontId="20" fillId="6" borderId="3" xfId="0" applyFont="1" applyFill="1" applyBorder="1" applyAlignment="1" applyProtection="1">
      <alignment horizontal="center" vertical="center" wrapText="1"/>
      <protection hidden="1"/>
    </xf>
    <xf numFmtId="171" fontId="13" fillId="7" borderId="3" xfId="0" applyNumberFormat="1" applyFont="1" applyFill="1" applyBorder="1" applyAlignment="1" applyProtection="1">
      <alignment horizontal="center"/>
      <protection locked="0"/>
    </xf>
    <xf numFmtId="4" fontId="1" fillId="7" borderId="3" xfId="0" applyNumberFormat="1" applyFont="1" applyFill="1" applyBorder="1" applyAlignment="1" applyProtection="1">
      <alignment horizontal="center"/>
      <protection locked="0"/>
    </xf>
    <xf numFmtId="3" fontId="1" fillId="7" borderId="3" xfId="0" applyNumberFormat="1" applyFont="1" applyFill="1" applyBorder="1" applyAlignment="1" applyProtection="1">
      <alignment horizontal="center"/>
      <protection locked="0"/>
    </xf>
    <xf numFmtId="2" fontId="1" fillId="6" borderId="3" xfId="0" applyNumberFormat="1" applyFont="1" applyFill="1" applyBorder="1" applyAlignment="1">
      <alignment horizontal="center"/>
    </xf>
    <xf numFmtId="171" fontId="13" fillId="5" borderId="3" xfId="0" applyNumberFormat="1" applyFont="1" applyFill="1" applyBorder="1" applyAlignment="1">
      <alignment horizontal="center"/>
    </xf>
    <xf numFmtId="0" fontId="20" fillId="6" borderId="3" xfId="0" applyFont="1" applyFill="1" applyBorder="1" applyAlignment="1" applyProtection="1">
      <alignment horizontal="center"/>
      <protection hidden="1"/>
    </xf>
    <xf numFmtId="2" fontId="20" fillId="6" borderId="3" xfId="1" applyNumberFormat="1" applyFont="1" applyFill="1" applyBorder="1" applyAlignment="1" applyProtection="1">
      <alignment horizontal="center"/>
      <protection hidden="1"/>
    </xf>
    <xf numFmtId="1" fontId="20" fillId="6" borderId="3" xfId="1" applyNumberFormat="1" applyFont="1" applyFill="1" applyBorder="1" applyAlignment="1" applyProtection="1">
      <alignment horizontal="center"/>
      <protection hidden="1"/>
    </xf>
    <xf numFmtId="2" fontId="1" fillId="6" borderId="3" xfId="1" applyNumberFormat="1" applyFont="1" applyFill="1" applyBorder="1" applyAlignment="1" applyProtection="1">
      <alignment horizontal="center"/>
      <protection hidden="1"/>
    </xf>
    <xf numFmtId="0" fontId="1" fillId="7" borderId="3" xfId="0" applyFont="1" applyFill="1" applyBorder="1" applyAlignment="1" applyProtection="1">
      <alignment horizontal="center"/>
      <protection locked="0"/>
    </xf>
    <xf numFmtId="2" fontId="1" fillId="7" borderId="3" xfId="0" applyNumberFormat="1" applyFont="1" applyFill="1" applyBorder="1" applyAlignment="1" applyProtection="1">
      <alignment horizontal="center"/>
      <protection locked="0"/>
    </xf>
    <xf numFmtId="40" fontId="0" fillId="0" borderId="0" xfId="0" applyNumberFormat="1" applyProtection="1">
      <protection locked="0"/>
    </xf>
    <xf numFmtId="0" fontId="23" fillId="5" borderId="3" xfId="0" applyFont="1" applyFill="1" applyBorder="1" applyAlignment="1">
      <alignment horizontal="center" vertical="center"/>
    </xf>
    <xf numFmtId="0" fontId="23" fillId="5" borderId="3" xfId="0" applyFont="1" applyFill="1" applyBorder="1" applyAlignment="1">
      <alignment horizontal="center" vertical="center" wrapText="1"/>
    </xf>
    <xf numFmtId="0" fontId="24" fillId="5" borderId="3" xfId="0" applyFont="1" applyFill="1" applyBorder="1" applyAlignment="1">
      <alignment vertical="center"/>
    </xf>
    <xf numFmtId="164" fontId="24" fillId="0" borderId="3" xfId="1" applyFont="1" applyBorder="1" applyAlignment="1" applyProtection="1">
      <alignment horizontal="center" vertical="center"/>
      <protection locked="0"/>
    </xf>
    <xf numFmtId="9" fontId="24" fillId="5" borderId="3" xfId="0" applyNumberFormat="1" applyFont="1" applyFill="1" applyBorder="1" applyAlignment="1">
      <alignment horizontal="center" vertical="center"/>
    </xf>
    <xf numFmtId="164" fontId="24" fillId="5" borderId="3" xfId="1" applyFont="1" applyFill="1" applyBorder="1" applyAlignment="1">
      <alignment horizontal="center" vertical="center"/>
    </xf>
    <xf numFmtId="0" fontId="24" fillId="5" borderId="3" xfId="0" applyFont="1" applyFill="1" applyBorder="1" applyAlignment="1">
      <alignment vertical="center" wrapText="1"/>
    </xf>
    <xf numFmtId="0" fontId="23" fillId="5" borderId="3" xfId="0" applyFont="1" applyFill="1" applyBorder="1" applyAlignment="1">
      <alignment vertical="center"/>
    </xf>
    <xf numFmtId="164" fontId="23" fillId="5" borderId="3" xfId="1" applyFont="1" applyFill="1" applyBorder="1" applyAlignment="1">
      <alignment horizontal="center" vertical="center"/>
    </xf>
    <xf numFmtId="0" fontId="23" fillId="5" borderId="3" xfId="0" applyFont="1" applyFill="1" applyBorder="1" applyAlignment="1">
      <alignment vertical="center" wrapText="1"/>
    </xf>
    <xf numFmtId="9" fontId="24" fillId="5" borderId="3" xfId="0" applyNumberFormat="1" applyFont="1" applyFill="1" applyBorder="1" applyAlignment="1">
      <alignment horizontal="right" vertical="center"/>
    </xf>
    <xf numFmtId="164" fontId="13" fillId="5" borderId="3" xfId="1" applyFont="1" applyFill="1" applyBorder="1" applyAlignment="1">
      <alignment horizontal="center"/>
    </xf>
    <xf numFmtId="164" fontId="35" fillId="5" borderId="3" xfId="1" applyFill="1" applyBorder="1"/>
    <xf numFmtId="10" fontId="23" fillId="5" borderId="3" xfId="2" applyNumberFormat="1" applyFont="1" applyFill="1" applyBorder="1" applyAlignment="1">
      <alignment horizontal="right" vertical="center"/>
    </xf>
    <xf numFmtId="172" fontId="23" fillId="5" borderId="3" xfId="0" applyNumberFormat="1" applyFont="1" applyFill="1" applyBorder="1" applyAlignment="1">
      <alignment horizontal="center" vertical="center" wrapText="1"/>
    </xf>
    <xf numFmtId="0" fontId="24" fillId="5" borderId="3" xfId="0" applyFont="1" applyFill="1" applyBorder="1" applyAlignment="1">
      <alignment horizontal="center" vertical="center"/>
    </xf>
    <xf numFmtId="164" fontId="24" fillId="5" borderId="3" xfId="1" applyFont="1" applyFill="1" applyBorder="1" applyAlignment="1">
      <alignment vertical="center" wrapText="1"/>
    </xf>
    <xf numFmtId="164" fontId="24" fillId="0" borderId="3" xfId="1" applyFont="1" applyBorder="1" applyAlignment="1" applyProtection="1">
      <alignment horizontal="right" vertical="center"/>
      <protection locked="0"/>
    </xf>
    <xf numFmtId="164" fontId="23" fillId="5" borderId="3" xfId="1" applyFont="1" applyFill="1" applyBorder="1" applyAlignment="1">
      <alignment vertical="center" wrapText="1"/>
    </xf>
    <xf numFmtId="164" fontId="23" fillId="5" borderId="3" xfId="1" applyFont="1" applyFill="1" applyBorder="1" applyAlignment="1">
      <alignment horizontal="right" vertical="center" wrapText="1"/>
    </xf>
    <xf numFmtId="164" fontId="23" fillId="5" borderId="3" xfId="0" applyNumberFormat="1" applyFont="1" applyFill="1" applyBorder="1" applyAlignment="1">
      <alignment horizontal="center" vertical="center"/>
    </xf>
    <xf numFmtId="0" fontId="13" fillId="5" borderId="3" xfId="0" applyFont="1" applyFill="1" applyBorder="1"/>
    <xf numFmtId="0" fontId="13" fillId="0" borderId="0" xfId="0" applyFont="1"/>
    <xf numFmtId="0" fontId="0" fillId="5" borderId="3" xfId="0" applyFill="1" applyBorder="1" applyAlignment="1">
      <alignment horizontal="center"/>
    </xf>
    <xf numFmtId="170" fontId="35" fillId="0" borderId="3" xfId="1" applyNumberFormat="1" applyBorder="1" applyProtection="1">
      <protection locked="0"/>
    </xf>
    <xf numFmtId="170" fontId="0" fillId="5" borderId="3" xfId="0" applyNumberFormat="1" applyFill="1" applyBorder="1"/>
    <xf numFmtId="172" fontId="0" fillId="0" borderId="3" xfId="0" applyNumberFormat="1" applyBorder="1" applyProtection="1">
      <protection locked="0"/>
    </xf>
    <xf numFmtId="0" fontId="0" fillId="9" borderId="3" xfId="0" applyFill="1" applyBorder="1"/>
    <xf numFmtId="170" fontId="35" fillId="5" borderId="3" xfId="1" applyNumberFormat="1" applyFill="1" applyBorder="1"/>
    <xf numFmtId="170" fontId="13" fillId="5" borderId="3" xfId="1" applyNumberFormat="1" applyFont="1" applyFill="1" applyBorder="1"/>
    <xf numFmtId="0" fontId="13" fillId="5" borderId="3" xfId="0" applyFont="1" applyFill="1" applyBorder="1" applyAlignment="1">
      <alignment horizontal="justify" vertical="center" wrapText="1"/>
    </xf>
    <xf numFmtId="0" fontId="13" fillId="5" borderId="3" xfId="0" applyFont="1" applyFill="1" applyBorder="1" applyAlignment="1" applyProtection="1">
      <alignment horizontal="center" vertical="center" wrapText="1"/>
      <protection locked="0"/>
    </xf>
    <xf numFmtId="164" fontId="13" fillId="7" borderId="3" xfId="1" applyFont="1" applyFill="1" applyBorder="1" applyAlignment="1" applyProtection="1">
      <alignment horizontal="center" vertical="center" wrapText="1"/>
      <protection locked="0"/>
    </xf>
    <xf numFmtId="164" fontId="35" fillId="0" borderId="3" xfId="1" applyBorder="1" applyAlignment="1" applyProtection="1">
      <alignment vertical="center"/>
      <protection locked="0"/>
    </xf>
    <xf numFmtId="0" fontId="0" fillId="5" borderId="3" xfId="0" applyFill="1" applyBorder="1" applyAlignment="1" applyProtection="1">
      <alignment horizontal="center" vertical="center" wrapText="1"/>
      <protection locked="0"/>
    </xf>
    <xf numFmtId="164" fontId="35" fillId="7" borderId="3" xfId="1" applyFill="1" applyBorder="1" applyProtection="1">
      <protection locked="0"/>
    </xf>
    <xf numFmtId="164" fontId="35" fillId="5" borderId="3" xfId="1" applyFill="1" applyBorder="1" applyAlignment="1">
      <alignment vertical="center"/>
    </xf>
    <xf numFmtId="0" fontId="0" fillId="5" borderId="3" xfId="0" applyFill="1" applyBorder="1" applyAlignment="1">
      <alignment horizontal="justify" vertical="center" wrapText="1"/>
    </xf>
    <xf numFmtId="164" fontId="35" fillId="7" borderId="3" xfId="1" applyFill="1" applyBorder="1" applyAlignment="1" applyProtection="1">
      <alignment horizontal="center" vertical="center" wrapText="1"/>
      <protection locked="0"/>
    </xf>
    <xf numFmtId="164" fontId="24" fillId="5" borderId="3" xfId="0" applyNumberFormat="1" applyFont="1" applyFill="1" applyBorder="1" applyAlignment="1">
      <alignment horizontal="center" vertical="center"/>
    </xf>
    <xf numFmtId="164" fontId="13" fillId="5" borderId="3" xfId="1" applyFont="1" applyFill="1" applyBorder="1" applyAlignment="1" applyProtection="1">
      <alignment horizontal="center" vertical="center" wrapText="1"/>
      <protection locked="0"/>
    </xf>
    <xf numFmtId="9" fontId="23" fillId="5" borderId="3" xfId="2" applyFont="1" applyFill="1" applyBorder="1" applyAlignment="1">
      <alignment horizontal="right" vertical="center"/>
    </xf>
    <xf numFmtId="0" fontId="0" fillId="5" borderId="11" xfId="0" applyFill="1" applyBorder="1" applyAlignment="1">
      <alignment horizontal="justify" vertical="center" wrapText="1"/>
    </xf>
    <xf numFmtId="0" fontId="0" fillId="5" borderId="0" xfId="0" applyFill="1"/>
    <xf numFmtId="10" fontId="35" fillId="5" borderId="3" xfId="2" applyNumberFormat="1" applyFill="1" applyBorder="1" applyAlignment="1" applyProtection="1">
      <alignment horizontal="center" vertical="center" wrapText="1"/>
      <protection locked="0"/>
    </xf>
    <xf numFmtId="9" fontId="24" fillId="5" borderId="3" xfId="2" applyFont="1" applyFill="1" applyBorder="1" applyAlignment="1">
      <alignment vertical="center"/>
    </xf>
    <xf numFmtId="9" fontId="24" fillId="0" borderId="3" xfId="2" applyFont="1" applyBorder="1" applyAlignment="1" applyProtection="1">
      <alignment vertical="center"/>
      <protection locked="0"/>
    </xf>
    <xf numFmtId="0" fontId="0" fillId="0" borderId="3" xfId="0" applyBorder="1" applyAlignment="1" applyProtection="1">
      <alignment vertical="center"/>
      <protection locked="0"/>
    </xf>
    <xf numFmtId="164" fontId="24" fillId="7" borderId="3" xfId="1" applyFont="1" applyFill="1" applyBorder="1" applyAlignment="1" applyProtection="1">
      <alignment horizontal="center" vertical="center"/>
      <protection locked="0"/>
    </xf>
    <xf numFmtId="10" fontId="35" fillId="5" borderId="3" xfId="2" applyNumberFormat="1" applyFill="1" applyBorder="1" applyAlignment="1">
      <alignment vertical="center"/>
    </xf>
    <xf numFmtId="4" fontId="1" fillId="5" borderId="3" xfId="0" applyNumberFormat="1" applyFont="1" applyFill="1" applyBorder="1" applyAlignment="1">
      <alignment horizontal="center"/>
    </xf>
    <xf numFmtId="3" fontId="1" fillId="5" borderId="3" xfId="0" applyNumberFormat="1" applyFont="1" applyFill="1" applyBorder="1" applyAlignment="1">
      <alignment horizontal="right"/>
    </xf>
    <xf numFmtId="3" fontId="1" fillId="6" borderId="3" xfId="0" applyNumberFormat="1" applyFont="1" applyFill="1" applyBorder="1" applyAlignment="1">
      <alignment horizontal="right"/>
    </xf>
    <xf numFmtId="9" fontId="1" fillId="6" borderId="3" xfId="2" applyFont="1" applyFill="1" applyBorder="1" applyAlignment="1">
      <alignment horizontal="center"/>
    </xf>
    <xf numFmtId="170" fontId="20" fillId="7" borderId="3" xfId="1" applyNumberFormat="1" applyFont="1" applyFill="1" applyBorder="1" applyAlignment="1" applyProtection="1">
      <alignment horizontal="center" vertical="center"/>
      <protection locked="0"/>
    </xf>
    <xf numFmtId="164" fontId="20" fillId="6" borderId="3" xfId="1" applyFont="1" applyFill="1" applyBorder="1"/>
    <xf numFmtId="10" fontId="20" fillId="6" borderId="3" xfId="2" applyNumberFormat="1" applyFont="1" applyFill="1" applyBorder="1"/>
    <xf numFmtId="170" fontId="20" fillId="6" borderId="3" xfId="1" applyNumberFormat="1" applyFont="1" applyFill="1" applyBorder="1"/>
    <xf numFmtId="173" fontId="0" fillId="0" borderId="3" xfId="0" applyNumberFormat="1" applyBorder="1"/>
    <xf numFmtId="0" fontId="0" fillId="0" borderId="3" xfId="0" applyBorder="1" applyAlignment="1">
      <alignment wrapText="1"/>
    </xf>
    <xf numFmtId="9" fontId="13" fillId="0" borderId="3" xfId="2" applyFont="1" applyBorder="1"/>
    <xf numFmtId="0" fontId="0" fillId="0" borderId="0" xfId="0" applyAlignment="1">
      <alignment vertical="center"/>
    </xf>
    <xf numFmtId="173" fontId="35" fillId="0" borderId="0" xfId="1" applyNumberFormat="1" applyAlignment="1">
      <alignment vertical="center"/>
    </xf>
    <xf numFmtId="174" fontId="35" fillId="0" borderId="0" xfId="1" applyNumberFormat="1" applyAlignment="1">
      <alignment vertical="center"/>
    </xf>
    <xf numFmtId="0" fontId="13" fillId="6" borderId="3" xfId="0" applyFont="1" applyFill="1" applyBorder="1" applyAlignment="1">
      <alignment horizontal="center" vertical="top" wrapText="1"/>
    </xf>
    <xf numFmtId="0" fontId="13" fillId="6" borderId="3" xfId="0" applyFont="1" applyFill="1" applyBorder="1" applyAlignment="1">
      <alignment vertical="top"/>
    </xf>
    <xf numFmtId="0" fontId="13" fillId="6" borderId="3" xfId="0" applyFont="1" applyFill="1" applyBorder="1" applyAlignment="1">
      <alignment horizontal="right" vertical="top" wrapText="1"/>
    </xf>
    <xf numFmtId="174" fontId="13" fillId="6" borderId="3" xfId="1" applyNumberFormat="1" applyFont="1" applyFill="1" applyBorder="1" applyAlignment="1">
      <alignment horizontal="center" vertical="top" wrapText="1"/>
    </xf>
    <xf numFmtId="0" fontId="13" fillId="6" borderId="35" xfId="0" applyFont="1" applyFill="1" applyBorder="1" applyAlignment="1">
      <alignment vertical="center"/>
    </xf>
    <xf numFmtId="0" fontId="13" fillId="5" borderId="3" xfId="0" applyFont="1" applyFill="1" applyBorder="1" applyAlignment="1">
      <alignment vertical="center"/>
    </xf>
    <xf numFmtId="173" fontId="13" fillId="5" borderId="3" xfId="0" applyNumberFormat="1" applyFont="1" applyFill="1" applyBorder="1" applyAlignment="1">
      <alignment vertical="center"/>
    </xf>
    <xf numFmtId="164" fontId="13" fillId="5" borderId="3" xfId="1" applyFont="1" applyFill="1" applyBorder="1" applyAlignment="1">
      <alignment vertical="center"/>
    </xf>
    <xf numFmtId="0" fontId="13" fillId="0" borderId="3" xfId="0" applyFont="1" applyBorder="1" applyAlignment="1">
      <alignment vertical="top"/>
    </xf>
    <xf numFmtId="0" fontId="13" fillId="0" borderId="3" xfId="0" applyFont="1" applyBorder="1" applyAlignment="1">
      <alignment horizontal="right" vertical="top" wrapText="1"/>
    </xf>
    <xf numFmtId="0" fontId="13" fillId="0" borderId="3" xfId="0" applyFont="1" applyBorder="1" applyAlignment="1">
      <alignment horizontal="right" vertical="top"/>
    </xf>
    <xf numFmtId="173" fontId="13" fillId="6" borderId="35" xfId="1" applyNumberFormat="1" applyFont="1" applyFill="1" applyBorder="1" applyAlignment="1">
      <alignment horizontal="right" vertical="center" wrapText="1"/>
    </xf>
    <xf numFmtId="0" fontId="13" fillId="6" borderId="37" xfId="0" applyFont="1" applyFill="1" applyBorder="1" applyAlignment="1">
      <alignment horizontal="center" vertical="top" wrapText="1"/>
    </xf>
    <xf numFmtId="0" fontId="0" fillId="6" borderId="35" xfId="0" applyFill="1" applyBorder="1" applyAlignment="1">
      <alignment vertical="center"/>
    </xf>
    <xf numFmtId="0" fontId="13" fillId="6" borderId="35" xfId="0" applyFont="1" applyFill="1" applyBorder="1" applyAlignment="1">
      <alignment horizontal="center" vertical="top" wrapText="1"/>
    </xf>
    <xf numFmtId="0" fontId="13" fillId="0" borderId="3" xfId="0" applyFont="1" applyBorder="1" applyAlignment="1">
      <alignment vertical="center"/>
    </xf>
    <xf numFmtId="173" fontId="35" fillId="0" borderId="3" xfId="1" applyNumberFormat="1" applyBorder="1" applyAlignment="1">
      <alignment vertical="center"/>
    </xf>
    <xf numFmtId="174" fontId="35" fillId="0" borderId="3" xfId="1" applyNumberFormat="1" applyBorder="1" applyAlignment="1">
      <alignment vertical="center"/>
    </xf>
    <xf numFmtId="173" fontId="0" fillId="0" borderId="3" xfId="0" applyNumberFormat="1" applyBorder="1" applyAlignment="1">
      <alignment horizontal="left" vertical="center"/>
    </xf>
    <xf numFmtId="173" fontId="0" fillId="0" borderId="3" xfId="0" applyNumberFormat="1" applyBorder="1" applyAlignment="1">
      <alignment horizontal="right" vertical="center"/>
    </xf>
    <xf numFmtId="173" fontId="0" fillId="0" borderId="3" xfId="0" applyNumberFormat="1" applyBorder="1" applyAlignment="1">
      <alignment vertical="center"/>
    </xf>
    <xf numFmtId="0" fontId="0" fillId="7" borderId="38" xfId="0" applyFill="1" applyBorder="1" applyAlignment="1">
      <alignment vertical="center" wrapText="1"/>
    </xf>
    <xf numFmtId="173" fontId="35" fillId="7" borderId="38" xfId="1" applyNumberFormat="1" applyFill="1" applyBorder="1" applyAlignment="1">
      <alignment vertical="center"/>
    </xf>
    <xf numFmtId="175" fontId="0" fillId="5" borderId="22" xfId="0" applyNumberFormat="1" applyFill="1" applyBorder="1" applyAlignment="1">
      <alignment vertical="center"/>
    </xf>
    <xf numFmtId="0" fontId="0" fillId="7" borderId="38" xfId="0" applyFill="1" applyBorder="1" applyAlignment="1">
      <alignment vertical="center"/>
    </xf>
    <xf numFmtId="0" fontId="0" fillId="0" borderId="3" xfId="0" applyBorder="1" applyAlignment="1">
      <alignment vertical="center" wrapText="1"/>
    </xf>
    <xf numFmtId="9" fontId="0" fillId="0" borderId="3" xfId="0" applyNumberFormat="1" applyBorder="1" applyAlignment="1">
      <alignment vertical="center"/>
    </xf>
    <xf numFmtId="0" fontId="0" fillId="7" borderId="39" xfId="0" applyFill="1" applyBorder="1" applyAlignment="1">
      <alignment vertical="center"/>
    </xf>
    <xf numFmtId="173" fontId="35" fillId="7" borderId="39" xfId="1" applyNumberFormat="1" applyFill="1" applyBorder="1" applyAlignment="1">
      <alignment vertical="center"/>
    </xf>
    <xf numFmtId="164" fontId="0" fillId="0" borderId="3" xfId="0" applyNumberFormat="1" applyBorder="1" applyAlignment="1">
      <alignment vertical="center"/>
    </xf>
    <xf numFmtId="173" fontId="13" fillId="0" borderId="3" xfId="0" applyNumberFormat="1" applyFont="1" applyBorder="1" applyAlignment="1">
      <alignment vertical="center"/>
    </xf>
    <xf numFmtId="9" fontId="13" fillId="0" borderId="3" xfId="0" applyNumberFormat="1" applyFont="1" applyBorder="1" applyAlignment="1">
      <alignment vertical="center"/>
    </xf>
    <xf numFmtId="0" fontId="0" fillId="7" borderId="39" xfId="0" applyFill="1" applyBorder="1" applyAlignment="1">
      <alignment vertical="center" wrapText="1"/>
    </xf>
    <xf numFmtId="0" fontId="0" fillId="7" borderId="40" xfId="0" applyFill="1" applyBorder="1" applyAlignment="1">
      <alignment vertical="center"/>
    </xf>
    <xf numFmtId="173" fontId="35" fillId="7" borderId="40" xfId="1" applyNumberFormat="1" applyFill="1" applyBorder="1" applyAlignment="1">
      <alignment vertical="center"/>
    </xf>
    <xf numFmtId="0" fontId="13" fillId="5" borderId="40" xfId="0" applyFont="1" applyFill="1" applyBorder="1" applyAlignment="1">
      <alignment vertical="center"/>
    </xf>
    <xf numFmtId="173" fontId="13" fillId="5" borderId="40" xfId="1" applyNumberFormat="1" applyFont="1" applyFill="1" applyBorder="1" applyAlignment="1">
      <alignment vertical="center"/>
    </xf>
    <xf numFmtId="164" fontId="13" fillId="5" borderId="40" xfId="1" applyFont="1" applyFill="1" applyBorder="1" applyAlignment="1">
      <alignment vertical="center"/>
    </xf>
    <xf numFmtId="0" fontId="0" fillId="5" borderId="40" xfId="0" applyFill="1" applyBorder="1" applyAlignment="1">
      <alignment vertical="center"/>
    </xf>
    <xf numFmtId="173" fontId="35" fillId="5" borderId="40" xfId="1" applyNumberFormat="1" applyFill="1" applyBorder="1" applyAlignment="1">
      <alignment vertical="center"/>
    </xf>
    <xf numFmtId="0" fontId="13" fillId="0" borderId="3" xfId="0" applyFont="1" applyBorder="1" applyAlignment="1">
      <alignment horizontal="right" vertical="center"/>
    </xf>
    <xf numFmtId="173" fontId="13" fillId="6" borderId="35" xfId="1" applyNumberFormat="1" applyFont="1" applyFill="1" applyBorder="1" applyAlignment="1">
      <alignment vertical="center"/>
    </xf>
    <xf numFmtId="175" fontId="0" fillId="5" borderId="38" xfId="0" applyNumberFormat="1" applyFill="1" applyBorder="1" applyAlignment="1">
      <alignment vertical="center"/>
    </xf>
    <xf numFmtId="0" fontId="0" fillId="7" borderId="41" xfId="0" applyFill="1" applyBorder="1" applyAlignment="1">
      <alignment vertical="center"/>
    </xf>
    <xf numFmtId="173" fontId="0" fillId="7" borderId="39" xfId="0" applyNumberFormat="1" applyFill="1" applyBorder="1" applyAlignment="1">
      <alignment vertical="center"/>
    </xf>
    <xf numFmtId="0" fontId="0" fillId="6" borderId="3" xfId="0" applyFill="1" applyBorder="1" applyAlignment="1">
      <alignment horizontal="center" vertical="center"/>
    </xf>
    <xf numFmtId="0" fontId="13" fillId="6" borderId="3" xfId="0" applyFont="1" applyFill="1" applyBorder="1" applyAlignment="1">
      <alignment vertical="center"/>
    </xf>
    <xf numFmtId="173" fontId="13" fillId="6" borderId="3" xfId="1" applyNumberFormat="1" applyFont="1" applyFill="1" applyBorder="1" applyAlignment="1">
      <alignment vertical="center"/>
    </xf>
    <xf numFmtId="174" fontId="13" fillId="6" borderId="3" xfId="1" applyNumberFormat="1" applyFont="1" applyFill="1" applyBorder="1" applyAlignment="1">
      <alignment vertical="center"/>
    </xf>
    <xf numFmtId="0" fontId="0" fillId="6" borderId="3" xfId="0" applyFill="1" applyBorder="1" applyAlignment="1">
      <alignment vertical="center"/>
    </xf>
    <xf numFmtId="173" fontId="35" fillId="6" borderId="3" xfId="1" applyNumberFormat="1" applyFill="1" applyBorder="1" applyAlignment="1">
      <alignment vertical="center"/>
    </xf>
    <xf numFmtId="174" fontId="35" fillId="6" borderId="3" xfId="1" applyNumberFormat="1" applyFill="1" applyBorder="1" applyAlignment="1">
      <alignment vertical="center"/>
    </xf>
    <xf numFmtId="173" fontId="13" fillId="6" borderId="3" xfId="0" applyNumberFormat="1" applyFont="1" applyFill="1" applyBorder="1" applyAlignment="1">
      <alignment vertical="center"/>
    </xf>
    <xf numFmtId="174" fontId="13" fillId="6" borderId="3" xfId="0" applyNumberFormat="1" applyFont="1" applyFill="1" applyBorder="1" applyAlignment="1">
      <alignment vertical="center"/>
    </xf>
    <xf numFmtId="176" fontId="13" fillId="0" borderId="3" xfId="0" applyNumberFormat="1" applyFont="1" applyBorder="1" applyAlignment="1">
      <alignment vertical="center"/>
    </xf>
    <xf numFmtId="175" fontId="0" fillId="5" borderId="39" xfId="0" applyNumberFormat="1" applyFill="1" applyBorder="1" applyAlignment="1">
      <alignment vertical="center"/>
    </xf>
    <xf numFmtId="175" fontId="0" fillId="5" borderId="42" xfId="0" applyNumberFormat="1" applyFill="1" applyBorder="1" applyAlignment="1">
      <alignment vertical="center"/>
    </xf>
    <xf numFmtId="0" fontId="0" fillId="7" borderId="43" xfId="0" applyFill="1" applyBorder="1" applyAlignment="1">
      <alignment vertical="center"/>
    </xf>
    <xf numFmtId="0" fontId="0" fillId="5" borderId="43" xfId="0" applyFill="1" applyBorder="1" applyAlignment="1">
      <alignment vertical="center"/>
    </xf>
    <xf numFmtId="0" fontId="13" fillId="6" borderId="36" xfId="0" applyFont="1" applyFill="1" applyBorder="1" applyAlignment="1">
      <alignment vertical="center"/>
    </xf>
    <xf numFmtId="0" fontId="2" fillId="0" borderId="0" xfId="6" applyAlignment="1">
      <alignment vertical="top"/>
    </xf>
    <xf numFmtId="177" fontId="2" fillId="0" borderId="0" xfId="6" applyNumberFormat="1" applyAlignment="1">
      <alignment vertical="top"/>
    </xf>
    <xf numFmtId="0" fontId="2" fillId="0" borderId="0" xfId="6"/>
    <xf numFmtId="0" fontId="18" fillId="0" borderId="0" xfId="6" applyFont="1" applyAlignment="1">
      <alignment vertical="top"/>
    </xf>
    <xf numFmtId="0" fontId="26" fillId="10" borderId="3" xfId="6" applyFont="1" applyFill="1" applyBorder="1" applyAlignment="1">
      <alignment horizontal="left" vertical="top"/>
    </xf>
    <xf numFmtId="0" fontId="20" fillId="10" borderId="3" xfId="6" applyFont="1" applyFill="1" applyBorder="1" applyAlignment="1">
      <alignment horizontal="left" vertical="top"/>
    </xf>
    <xf numFmtId="177" fontId="20" fillId="10" borderId="3" xfId="6" applyNumberFormat="1" applyFont="1" applyFill="1" applyBorder="1" applyAlignment="1">
      <alignment horizontal="center" vertical="top"/>
    </xf>
    <xf numFmtId="0" fontId="27" fillId="12" borderId="3" xfId="6" applyFont="1" applyFill="1" applyBorder="1" applyAlignment="1">
      <alignment horizontal="left" vertical="top"/>
    </xf>
    <xf numFmtId="178" fontId="20" fillId="5" borderId="3" xfId="6" applyNumberFormat="1" applyFont="1" applyFill="1" applyBorder="1" applyAlignment="1">
      <alignment horizontal="center" vertical="top"/>
    </xf>
    <xf numFmtId="178" fontId="18" fillId="11" borderId="3" xfId="6" applyNumberFormat="1" applyFont="1" applyFill="1" applyBorder="1" applyAlignment="1">
      <alignment horizontal="center" vertical="top" wrapText="1"/>
    </xf>
    <xf numFmtId="0" fontId="2" fillId="5" borderId="3" xfId="6" applyFill="1" applyBorder="1" applyAlignment="1">
      <alignment vertical="top"/>
    </xf>
    <xf numFmtId="170" fontId="2" fillId="5" borderId="3" xfId="5" applyNumberFormat="1" applyFill="1" applyBorder="1" applyAlignment="1">
      <alignment vertical="top"/>
    </xf>
    <xf numFmtId="10" fontId="0" fillId="11" borderId="3" xfId="9" applyNumberFormat="1" applyFont="1" applyFill="1" applyBorder="1" applyAlignment="1" applyProtection="1">
      <alignment vertical="top"/>
      <protection hidden="1"/>
    </xf>
    <xf numFmtId="0" fontId="2" fillId="5" borderId="3" xfId="6" applyFill="1" applyBorder="1" applyAlignment="1">
      <alignment vertical="top" wrapText="1"/>
    </xf>
    <xf numFmtId="0" fontId="18" fillId="10" borderId="3" xfId="6" applyFont="1" applyFill="1" applyBorder="1" applyAlignment="1">
      <alignment vertical="top"/>
    </xf>
    <xf numFmtId="170" fontId="2" fillId="10" borderId="3" xfId="5" applyNumberFormat="1" applyFill="1" applyBorder="1" applyAlignment="1" applyProtection="1">
      <alignment vertical="top"/>
      <protection hidden="1"/>
    </xf>
    <xf numFmtId="0" fontId="1" fillId="5" borderId="3" xfId="6" applyFont="1" applyFill="1" applyBorder="1" applyAlignment="1">
      <alignment vertical="top"/>
    </xf>
    <xf numFmtId="0" fontId="28" fillId="0" borderId="0" xfId="6" applyFont="1" applyAlignment="1">
      <alignment vertical="top"/>
    </xf>
    <xf numFmtId="170" fontId="18" fillId="6" borderId="3" xfId="5" applyNumberFormat="1" applyFont="1" applyFill="1" applyBorder="1" applyAlignment="1" applyProtection="1">
      <alignment vertical="top"/>
      <protection hidden="1"/>
    </xf>
    <xf numFmtId="0" fontId="2" fillId="0" borderId="3" xfId="6" applyBorder="1" applyAlignment="1">
      <alignment vertical="top"/>
    </xf>
    <xf numFmtId="164" fontId="0" fillId="0" borderId="3" xfId="5" applyFont="1" applyBorder="1" applyAlignment="1">
      <alignment vertical="top"/>
    </xf>
    <xf numFmtId="0" fontId="2" fillId="11" borderId="3" xfId="6" applyFill="1" applyBorder="1" applyAlignment="1">
      <alignment vertical="top"/>
    </xf>
    <xf numFmtId="179" fontId="27" fillId="12" borderId="3" xfId="5" applyNumberFormat="1" applyFont="1" applyFill="1" applyBorder="1" applyAlignment="1">
      <alignment horizontal="center" vertical="top"/>
    </xf>
    <xf numFmtId="170" fontId="27" fillId="12" borderId="3" xfId="5" applyNumberFormat="1" applyFont="1" applyFill="1" applyBorder="1" applyAlignment="1">
      <alignment vertical="top"/>
    </xf>
    <xf numFmtId="178" fontId="18" fillId="11" borderId="3" xfId="9" applyNumberFormat="1" applyFont="1" applyFill="1" applyBorder="1" applyAlignment="1">
      <alignment horizontal="center" vertical="top" wrapText="1"/>
    </xf>
    <xf numFmtId="0" fontId="29" fillId="5" borderId="3" xfId="6" applyFont="1" applyFill="1" applyBorder="1" applyAlignment="1">
      <alignment vertical="top"/>
    </xf>
    <xf numFmtId="0" fontId="18" fillId="6" borderId="3" xfId="6" applyFont="1" applyFill="1" applyBorder="1" applyAlignment="1">
      <alignment vertical="top"/>
    </xf>
    <xf numFmtId="170" fontId="2" fillId="11" borderId="3" xfId="5" applyNumberFormat="1" applyFill="1" applyBorder="1" applyAlignment="1" applyProtection="1">
      <alignment vertical="top"/>
      <protection hidden="1"/>
    </xf>
    <xf numFmtId="170" fontId="30" fillId="12" borderId="3" xfId="5" applyNumberFormat="1" applyFont="1" applyFill="1" applyBorder="1" applyAlignment="1">
      <alignment vertical="top"/>
    </xf>
    <xf numFmtId="0" fontId="27" fillId="12" borderId="8" xfId="6" applyFont="1" applyFill="1" applyBorder="1" applyAlignment="1">
      <alignment vertical="top"/>
    </xf>
    <xf numFmtId="170" fontId="30" fillId="12" borderId="8" xfId="5" applyNumberFormat="1" applyFont="1" applyFill="1" applyBorder="1" applyAlignment="1">
      <alignment vertical="top"/>
    </xf>
    <xf numFmtId="0" fontId="20" fillId="6" borderId="3" xfId="6" applyFont="1" applyFill="1" applyBorder="1" applyAlignment="1">
      <alignment horizontal="left" vertical="top"/>
    </xf>
    <xf numFmtId="178" fontId="20" fillId="6" borderId="3" xfId="6" applyNumberFormat="1" applyFont="1" applyFill="1" applyBorder="1" applyAlignment="1">
      <alignment horizontal="center" vertical="top"/>
    </xf>
    <xf numFmtId="0" fontId="2" fillId="6" borderId="3" xfId="6" applyFill="1" applyBorder="1" applyAlignment="1">
      <alignment vertical="top"/>
    </xf>
    <xf numFmtId="170" fontId="2" fillId="5" borderId="3" xfId="1" applyNumberFormat="1" applyFont="1" applyFill="1" applyBorder="1" applyAlignment="1">
      <alignment horizontal="center" vertical="top"/>
    </xf>
    <xf numFmtId="9" fontId="2" fillId="5" borderId="3" xfId="2" applyFont="1" applyFill="1" applyBorder="1" applyAlignment="1">
      <alignment horizontal="center" vertical="top"/>
    </xf>
    <xf numFmtId="0" fontId="2" fillId="6" borderId="0" xfId="6" applyFill="1"/>
    <xf numFmtId="164" fontId="2" fillId="5" borderId="3" xfId="1" applyFont="1" applyFill="1" applyBorder="1" applyAlignment="1">
      <alignment horizontal="center" vertical="top"/>
    </xf>
    <xf numFmtId="177" fontId="20" fillId="7" borderId="3" xfId="6" applyNumberFormat="1" applyFont="1" applyFill="1" applyBorder="1" applyAlignment="1" applyProtection="1">
      <alignment horizontal="center" vertical="top"/>
      <protection locked="0"/>
    </xf>
    <xf numFmtId="178" fontId="20" fillId="7" borderId="3" xfId="6" applyNumberFormat="1" applyFont="1" applyFill="1" applyBorder="1" applyAlignment="1" applyProtection="1">
      <alignment horizontal="center" vertical="top"/>
      <protection locked="0"/>
    </xf>
    <xf numFmtId="170" fontId="2" fillId="0" borderId="3" xfId="5" applyNumberFormat="1" applyBorder="1" applyAlignment="1" applyProtection="1">
      <alignment vertical="top"/>
      <protection locked="0"/>
    </xf>
    <xf numFmtId="0" fontId="2" fillId="10" borderId="17" xfId="6" applyFill="1" applyBorder="1" applyAlignment="1">
      <alignment vertical="top"/>
    </xf>
    <xf numFmtId="0" fontId="2" fillId="10" borderId="26" xfId="6" applyFill="1" applyBorder="1" applyAlignment="1">
      <alignment vertical="top"/>
    </xf>
    <xf numFmtId="0" fontId="2" fillId="10" borderId="44" xfId="6" applyFill="1" applyBorder="1" applyAlignment="1">
      <alignment vertical="top"/>
    </xf>
    <xf numFmtId="0" fontId="2" fillId="10" borderId="45" xfId="6" applyFill="1" applyBorder="1" applyAlignment="1">
      <alignment vertical="top"/>
    </xf>
    <xf numFmtId="0" fontId="2" fillId="10" borderId="0" xfId="6" applyFill="1" applyAlignment="1">
      <alignment vertical="top"/>
    </xf>
    <xf numFmtId="0" fontId="2" fillId="10" borderId="46" xfId="6" applyFill="1" applyBorder="1" applyAlignment="1">
      <alignment vertical="top"/>
    </xf>
    <xf numFmtId="170" fontId="30" fillId="12" borderId="3" xfId="5" applyNumberFormat="1" applyFont="1" applyFill="1" applyBorder="1" applyAlignment="1" applyProtection="1">
      <alignment vertical="top"/>
      <protection locked="0"/>
    </xf>
    <xf numFmtId="0" fontId="13" fillId="5" borderId="3" xfId="0" applyFont="1" applyFill="1" applyBorder="1" applyAlignment="1">
      <alignment horizontal="center" vertical="center"/>
    </xf>
    <xf numFmtId="169" fontId="0" fillId="0" borderId="3" xfId="0" applyNumberFormat="1" applyBorder="1" applyAlignment="1">
      <alignment horizontal="center"/>
    </xf>
    <xf numFmtId="164" fontId="35" fillId="7" borderId="3" xfId="1" applyFill="1" applyBorder="1"/>
    <xf numFmtId="164" fontId="35" fillId="0" borderId="3" xfId="1" applyBorder="1"/>
    <xf numFmtId="164" fontId="13" fillId="5" borderId="3" xfId="1" applyFont="1" applyFill="1" applyBorder="1"/>
    <xf numFmtId="0" fontId="18" fillId="6" borderId="3" xfId="0" applyFont="1" applyFill="1" applyBorder="1" applyAlignment="1">
      <alignment vertical="center" wrapText="1"/>
    </xf>
    <xf numFmtId="0" fontId="2" fillId="6" borderId="3" xfId="0" applyFont="1" applyFill="1" applyBorder="1" applyAlignment="1">
      <alignment vertical="center" wrapText="1"/>
    </xf>
    <xf numFmtId="0" fontId="2" fillId="0" borderId="3" xfId="0" applyFont="1" applyBorder="1" applyAlignment="1" applyProtection="1">
      <alignment vertical="center" wrapText="1"/>
      <protection locked="0"/>
    </xf>
    <xf numFmtId="179" fontId="2" fillId="0" borderId="3" xfId="0" applyNumberFormat="1" applyFont="1" applyBorder="1" applyAlignment="1" applyProtection="1">
      <alignment vertical="center" wrapText="1"/>
      <protection locked="0"/>
    </xf>
    <xf numFmtId="0" fontId="18" fillId="0" borderId="3" xfId="0" applyFont="1" applyBorder="1" applyAlignment="1" applyProtection="1">
      <alignment vertical="center" wrapText="1"/>
      <protection locked="0"/>
    </xf>
    <xf numFmtId="0" fontId="2" fillId="7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13" fillId="6" borderId="3" xfId="0" applyFont="1" applyFill="1" applyBorder="1"/>
    <xf numFmtId="0" fontId="13" fillId="6" borderId="3" xfId="0" applyFont="1" applyFill="1" applyBorder="1" applyAlignment="1">
      <alignment wrapText="1"/>
    </xf>
    <xf numFmtId="0" fontId="24" fillId="5" borderId="3" xfId="0" applyFont="1" applyFill="1" applyBorder="1" applyAlignment="1">
      <alignment horizontal="center" vertical="center" wrapText="1"/>
    </xf>
    <xf numFmtId="0" fontId="34" fillId="5" borderId="3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24" fillId="7" borderId="3" xfId="0" applyFont="1" applyFill="1" applyBorder="1" applyAlignment="1" applyProtection="1">
      <alignment horizontal="center" vertical="center"/>
      <protection locked="0"/>
    </xf>
    <xf numFmtId="0" fontId="0" fillId="7" borderId="11" xfId="0" applyFill="1" applyBorder="1"/>
    <xf numFmtId="0" fontId="0" fillId="7" borderId="11" xfId="0" applyFill="1" applyBorder="1" applyAlignment="1">
      <alignment wrapText="1"/>
    </xf>
    <xf numFmtId="0" fontId="0" fillId="5" borderId="3" xfId="0" applyFill="1" applyBorder="1" applyAlignment="1">
      <alignment wrapText="1"/>
    </xf>
    <xf numFmtId="0" fontId="0" fillId="0" borderId="3" xfId="0" applyBorder="1" applyAlignment="1" applyProtection="1">
      <alignment horizontal="center" vertical="center" wrapText="1"/>
      <protection locked="0"/>
    </xf>
    <xf numFmtId="0" fontId="19" fillId="0" borderId="2" xfId="0" applyFont="1" applyBorder="1" applyAlignment="1">
      <alignment horizontal="center" vertical="center" wrapText="1"/>
    </xf>
    <xf numFmtId="168" fontId="0" fillId="5" borderId="4" xfId="0" applyNumberFormat="1" applyFill="1" applyBorder="1" applyAlignment="1">
      <alignment horizontal="right" vertical="center" wrapText="1"/>
    </xf>
    <xf numFmtId="168" fontId="0" fillId="7" borderId="4" xfId="0" applyNumberFormat="1" applyFill="1" applyBorder="1" applyAlignment="1" applyProtection="1">
      <alignment horizontal="right" vertical="center" wrapText="1"/>
      <protection locked="0"/>
    </xf>
    <xf numFmtId="0" fontId="0" fillId="5" borderId="3" xfId="0" applyFill="1" applyBorder="1" applyAlignment="1">
      <alignment horizontal="center" vertical="center" wrapText="1"/>
    </xf>
    <xf numFmtId="10" fontId="35" fillId="5" borderId="8" xfId="2" applyNumberFormat="1" applyFill="1" applyBorder="1" applyAlignment="1">
      <alignment horizontal="center" vertical="center" wrapText="1"/>
    </xf>
    <xf numFmtId="10" fontId="0" fillId="0" borderId="3" xfId="0" applyNumberFormat="1" applyBorder="1" applyAlignment="1" applyProtection="1">
      <alignment horizontal="center" vertical="center" wrapText="1"/>
      <protection locked="0"/>
    </xf>
    <xf numFmtId="10" fontId="1" fillId="0" borderId="3" xfId="0" applyNumberFormat="1" applyFont="1" applyBorder="1" applyAlignment="1" applyProtection="1">
      <alignment horizontal="center" vertical="center" wrapText="1"/>
      <protection locked="0"/>
    </xf>
    <xf numFmtId="9" fontId="1" fillId="5" borderId="3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0" fillId="0" borderId="3" xfId="0" applyBorder="1" applyAlignment="1" applyProtection="1">
      <alignment horizontal="left" vertical="center" wrapText="1"/>
      <protection locked="0"/>
    </xf>
    <xf numFmtId="0" fontId="17" fillId="0" borderId="0" xfId="0" applyFont="1" applyAlignment="1">
      <alignment horizontal="left" vertical="center" wrapText="1"/>
    </xf>
    <xf numFmtId="0" fontId="13" fillId="5" borderId="3" xfId="0" applyFont="1" applyFill="1" applyBorder="1" applyAlignment="1">
      <alignment horizontal="center" vertical="center" wrapText="1"/>
    </xf>
    <xf numFmtId="0" fontId="0" fillId="7" borderId="3" xfId="0" applyFill="1" applyBorder="1" applyAlignment="1" applyProtection="1">
      <alignment horizontal="left" vertical="center" wrapText="1"/>
      <protection locked="0"/>
    </xf>
    <xf numFmtId="0" fontId="13" fillId="6" borderId="9" xfId="0" applyFont="1" applyFill="1" applyBorder="1" applyAlignment="1">
      <alignment horizontal="center" vertical="center" wrapText="1"/>
    </xf>
    <xf numFmtId="0" fontId="21" fillId="7" borderId="3" xfId="0" applyFont="1" applyFill="1" applyBorder="1" applyAlignment="1">
      <alignment horizontal="center" wrapText="1"/>
    </xf>
    <xf numFmtId="0" fontId="0" fillId="0" borderId="3" xfId="0" applyBorder="1" applyAlignment="1" applyProtection="1">
      <alignment horizontal="center"/>
      <protection locked="0"/>
    </xf>
    <xf numFmtId="0" fontId="13" fillId="6" borderId="3" xfId="0" applyFont="1" applyFill="1" applyBorder="1" applyAlignment="1">
      <alignment horizontal="center" vertical="center" wrapText="1"/>
    </xf>
    <xf numFmtId="0" fontId="13" fillId="5" borderId="3" xfId="0" applyFont="1" applyFill="1" applyBorder="1" applyAlignment="1">
      <alignment horizontal="center"/>
    </xf>
    <xf numFmtId="0" fontId="0" fillId="7" borderId="3" xfId="0" applyFill="1" applyBorder="1" applyAlignment="1" applyProtection="1">
      <alignment horizontal="center" vertical="center" wrapText="1"/>
      <protection locked="0"/>
    </xf>
    <xf numFmtId="0" fontId="4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left" vertical="top" wrapText="1"/>
    </xf>
    <xf numFmtId="0" fontId="13" fillId="6" borderId="12" xfId="0" applyFont="1" applyFill="1" applyBorder="1" applyAlignment="1">
      <alignment horizontal="center" vertical="center"/>
    </xf>
    <xf numFmtId="0" fontId="13" fillId="6" borderId="12" xfId="0" applyFont="1" applyFill="1" applyBorder="1" applyAlignment="1">
      <alignment horizontal="center" vertical="center" wrapText="1"/>
    </xf>
    <xf numFmtId="0" fontId="13" fillId="6" borderId="13" xfId="0" applyFont="1" applyFill="1" applyBorder="1" applyAlignment="1">
      <alignment horizontal="center" wrapText="1"/>
    </xf>
    <xf numFmtId="0" fontId="13" fillId="6" borderId="13" xfId="0" applyFont="1" applyFill="1" applyBorder="1" applyAlignment="1">
      <alignment horizontal="center"/>
    </xf>
    <xf numFmtId="0" fontId="13" fillId="6" borderId="16" xfId="0" applyFont="1" applyFill="1" applyBorder="1" applyAlignment="1">
      <alignment horizontal="center" wrapText="1"/>
    </xf>
    <xf numFmtId="0" fontId="13" fillId="6" borderId="19" xfId="0" applyFont="1" applyFill="1" applyBorder="1" applyAlignment="1">
      <alignment horizontal="center" vertical="center" wrapText="1"/>
    </xf>
    <xf numFmtId="0" fontId="13" fillId="6" borderId="20" xfId="0" applyFont="1" applyFill="1" applyBorder="1" applyAlignment="1">
      <alignment horizontal="center" wrapText="1"/>
    </xf>
    <xf numFmtId="0" fontId="13" fillId="6" borderId="5" xfId="0" applyFont="1" applyFill="1" applyBorder="1" applyAlignment="1">
      <alignment horizontal="center" wrapText="1"/>
    </xf>
    <xf numFmtId="0" fontId="13" fillId="6" borderId="16" xfId="0" applyFont="1" applyFill="1" applyBorder="1" applyAlignment="1">
      <alignment horizontal="center"/>
    </xf>
    <xf numFmtId="0" fontId="22" fillId="6" borderId="3" xfId="0" applyFont="1" applyFill="1" applyBorder="1" applyAlignment="1">
      <alignment horizontal="center"/>
    </xf>
    <xf numFmtId="0" fontId="13" fillId="6" borderId="3" xfId="0" applyFont="1" applyFill="1" applyBorder="1" applyAlignment="1">
      <alignment horizontal="center" vertical="center"/>
    </xf>
    <xf numFmtId="0" fontId="0" fillId="0" borderId="3" xfId="0" applyBorder="1" applyAlignment="1" applyProtection="1">
      <alignment horizontal="left" vertical="center"/>
      <protection locked="0"/>
    </xf>
    <xf numFmtId="9" fontId="13" fillId="6" borderId="3" xfId="2" applyFont="1" applyFill="1" applyBorder="1" applyAlignment="1">
      <alignment horizontal="center" vertical="center"/>
    </xf>
    <xf numFmtId="0" fontId="1" fillId="7" borderId="3" xfId="0" applyFont="1" applyFill="1" applyBorder="1" applyAlignment="1" applyProtection="1">
      <alignment horizontal="center" wrapText="1"/>
      <protection locked="0"/>
    </xf>
    <xf numFmtId="0" fontId="20" fillId="6" borderId="3" xfId="0" applyFont="1" applyFill="1" applyBorder="1" applyAlignment="1">
      <alignment horizontal="center"/>
    </xf>
    <xf numFmtId="0" fontId="20" fillId="7" borderId="3" xfId="0" applyFont="1" applyFill="1" applyBorder="1" applyAlignment="1" applyProtection="1">
      <alignment horizontal="center"/>
      <protection locked="0"/>
    </xf>
    <xf numFmtId="164" fontId="20" fillId="6" borderId="3" xfId="1" applyFont="1" applyFill="1" applyBorder="1" applyAlignment="1" applyProtection="1">
      <alignment horizontal="center" vertical="top" wrapText="1"/>
      <protection hidden="1"/>
    </xf>
    <xf numFmtId="0" fontId="20" fillId="6" borderId="3" xfId="1" applyNumberFormat="1" applyFont="1" applyFill="1" applyBorder="1" applyAlignment="1" applyProtection="1">
      <alignment horizontal="center" vertical="top" wrapText="1"/>
      <protection hidden="1"/>
    </xf>
    <xf numFmtId="0" fontId="20" fillId="6" borderId="3" xfId="0" applyFont="1" applyFill="1" applyBorder="1" applyAlignment="1" applyProtection="1">
      <alignment horizontal="center" wrapText="1"/>
      <protection hidden="1"/>
    </xf>
    <xf numFmtId="0" fontId="20" fillId="6" borderId="3" xfId="0" applyFont="1" applyFill="1" applyBorder="1" applyAlignment="1" applyProtection="1">
      <alignment horizontal="center" vertical="center" wrapText="1"/>
      <protection hidden="1"/>
    </xf>
    <xf numFmtId="0" fontId="1" fillId="6" borderId="3" xfId="0" applyFont="1" applyFill="1" applyBorder="1" applyAlignment="1" applyProtection="1">
      <alignment horizontal="center"/>
      <protection locked="0"/>
    </xf>
    <xf numFmtId="2" fontId="20" fillId="6" borderId="3" xfId="0" applyNumberFormat="1" applyFont="1" applyFill="1" applyBorder="1" applyAlignment="1">
      <alignment horizontal="center"/>
    </xf>
    <xf numFmtId="2" fontId="1" fillId="6" borderId="3" xfId="0" applyNumberFormat="1" applyFont="1" applyFill="1" applyBorder="1" applyAlignment="1">
      <alignment horizontal="center"/>
    </xf>
    <xf numFmtId="2" fontId="20" fillId="6" borderId="3" xfId="0" applyNumberFormat="1" applyFont="1" applyFill="1" applyBorder="1" applyAlignment="1" applyProtection="1">
      <alignment horizontal="center" vertical="center"/>
      <protection hidden="1"/>
    </xf>
    <xf numFmtId="164" fontId="20" fillId="6" borderId="3" xfId="1" applyFont="1" applyFill="1" applyBorder="1" applyAlignment="1" applyProtection="1">
      <alignment horizontal="center" vertical="center" wrapText="1"/>
      <protection hidden="1"/>
    </xf>
    <xf numFmtId="1" fontId="20" fillId="6" borderId="3" xfId="1" applyNumberFormat="1" applyFont="1" applyFill="1" applyBorder="1" applyAlignment="1" applyProtection="1">
      <alignment horizontal="center"/>
      <protection hidden="1"/>
    </xf>
    <xf numFmtId="0" fontId="23" fillId="5" borderId="3" xfId="0" applyFont="1" applyFill="1" applyBorder="1" applyAlignment="1">
      <alignment horizontal="center" vertical="center"/>
    </xf>
    <xf numFmtId="0" fontId="23" fillId="5" borderId="3" xfId="0" applyFont="1" applyFill="1" applyBorder="1" applyAlignment="1">
      <alignment horizontal="left" vertical="center" wrapText="1"/>
    </xf>
    <xf numFmtId="0" fontId="24" fillId="5" borderId="3" xfId="0" applyFont="1" applyFill="1" applyBorder="1" applyAlignment="1">
      <alignment horizontal="left" vertical="center" wrapText="1"/>
    </xf>
    <xf numFmtId="0" fontId="0" fillId="9" borderId="3" xfId="0" applyFill="1" applyBorder="1" applyAlignment="1">
      <alignment horizontal="center"/>
    </xf>
    <xf numFmtId="0" fontId="24" fillId="5" borderId="3" xfId="0" applyFont="1" applyFill="1" applyBorder="1" applyAlignment="1">
      <alignment vertical="center" wrapText="1"/>
    </xf>
    <xf numFmtId="0" fontId="13" fillId="0" borderId="22" xfId="0" applyFont="1" applyBorder="1" applyAlignment="1">
      <alignment horizontal="center"/>
    </xf>
    <xf numFmtId="0" fontId="13" fillId="6" borderId="3" xfId="0" applyFont="1" applyFill="1" applyBorder="1" applyAlignment="1">
      <alignment horizontal="center"/>
    </xf>
    <xf numFmtId="0" fontId="20" fillId="6" borderId="3" xfId="0" applyFont="1" applyFill="1" applyBorder="1" applyAlignment="1">
      <alignment horizontal="center" vertical="center"/>
    </xf>
    <xf numFmtId="170" fontId="20" fillId="6" borderId="3" xfId="1" applyNumberFormat="1" applyFont="1" applyFill="1" applyBorder="1" applyAlignment="1">
      <alignment horizontal="right" vertical="center"/>
    </xf>
    <xf numFmtId="9" fontId="20" fillId="6" borderId="3" xfId="2" applyFont="1" applyFill="1" applyBorder="1" applyAlignment="1">
      <alignment horizontal="center" vertical="center"/>
    </xf>
    <xf numFmtId="0" fontId="20" fillId="6" borderId="3" xfId="0" applyFont="1" applyFill="1" applyBorder="1" applyAlignment="1" applyProtection="1">
      <alignment horizontal="center" vertical="center"/>
      <protection hidden="1"/>
    </xf>
    <xf numFmtId="0" fontId="20" fillId="6" borderId="3" xfId="0" applyFont="1" applyFill="1" applyBorder="1" applyAlignment="1">
      <alignment horizontal="left" vertical="center"/>
    </xf>
    <xf numFmtId="0" fontId="20" fillId="6" borderId="3" xfId="0" applyFont="1" applyFill="1" applyBorder="1" applyAlignment="1">
      <alignment horizontal="left"/>
    </xf>
    <xf numFmtId="0" fontId="18" fillId="6" borderId="3" xfId="0" applyFont="1" applyFill="1" applyBorder="1" applyAlignment="1">
      <alignment horizontal="left" vertical="center" wrapText="1"/>
    </xf>
    <xf numFmtId="0" fontId="11" fillId="6" borderId="27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center" vertical="center"/>
    </xf>
    <xf numFmtId="0" fontId="11" fillId="6" borderId="36" xfId="0" applyFont="1" applyFill="1" applyBorder="1" applyAlignment="1">
      <alignment horizontal="center" vertical="center"/>
    </xf>
    <xf numFmtId="0" fontId="13" fillId="0" borderId="3" xfId="0" applyFont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25" fillId="10" borderId="3" xfId="6" applyFont="1" applyFill="1" applyBorder="1" applyAlignment="1">
      <alignment horizontal="center" vertical="top"/>
    </xf>
    <xf numFmtId="0" fontId="26" fillId="10" borderId="3" xfId="6" applyFont="1" applyFill="1" applyBorder="1" applyAlignment="1">
      <alignment horizontal="center" vertical="top"/>
    </xf>
    <xf numFmtId="9" fontId="20" fillId="11" borderId="3" xfId="9" applyFont="1" applyFill="1" applyBorder="1" applyAlignment="1">
      <alignment horizontal="center" vertical="top" wrapText="1"/>
    </xf>
    <xf numFmtId="9" fontId="18" fillId="11" borderId="3" xfId="9" applyFont="1" applyFill="1" applyBorder="1" applyAlignment="1">
      <alignment horizontal="center" vertical="top"/>
    </xf>
    <xf numFmtId="0" fontId="31" fillId="7" borderId="3" xfId="6" applyFont="1" applyFill="1" applyBorder="1" applyAlignment="1" applyProtection="1">
      <alignment horizontal="center" vertical="top"/>
      <protection locked="0"/>
    </xf>
    <xf numFmtId="0" fontId="32" fillId="10" borderId="3" xfId="6" applyFont="1" applyFill="1" applyBorder="1" applyAlignment="1">
      <alignment horizontal="center" vertical="top"/>
    </xf>
    <xf numFmtId="0" fontId="2" fillId="0" borderId="3" xfId="6" applyBorder="1" applyAlignment="1" applyProtection="1">
      <alignment horizontal="left" vertical="top" wrapText="1"/>
      <protection locked="0"/>
    </xf>
    <xf numFmtId="0" fontId="2" fillId="10" borderId="3" xfId="6" applyFill="1" applyBorder="1" applyAlignment="1">
      <alignment horizontal="center" vertical="top"/>
    </xf>
    <xf numFmtId="0" fontId="2" fillId="0" borderId="3" xfId="6" applyBorder="1" applyAlignment="1" applyProtection="1">
      <alignment horizontal="left" vertical="top"/>
      <protection locked="0"/>
    </xf>
    <xf numFmtId="0" fontId="2" fillId="7" borderId="3" xfId="6" applyFill="1" applyBorder="1" applyAlignment="1" applyProtection="1">
      <alignment horizontal="left" vertical="top"/>
      <protection locked="0"/>
    </xf>
    <xf numFmtId="0" fontId="2" fillId="7" borderId="8" xfId="6" applyFill="1" applyBorder="1" applyAlignment="1" applyProtection="1">
      <alignment horizontal="left" vertical="top"/>
      <protection locked="0"/>
    </xf>
    <xf numFmtId="176" fontId="2" fillId="10" borderId="3" xfId="6" applyNumberFormat="1" applyFill="1" applyBorder="1" applyAlignment="1">
      <alignment horizontal="center" vertical="top"/>
    </xf>
    <xf numFmtId="170" fontId="2" fillId="0" borderId="3" xfId="6" applyNumberFormat="1" applyBorder="1" applyAlignment="1" applyProtection="1">
      <alignment horizontal="left" vertical="top"/>
      <protection locked="0"/>
    </xf>
    <xf numFmtId="0" fontId="26" fillId="7" borderId="3" xfId="6" applyFont="1" applyFill="1" applyBorder="1" applyAlignment="1" applyProtection="1">
      <alignment horizontal="center" vertical="top"/>
      <protection locked="0"/>
    </xf>
    <xf numFmtId="0" fontId="20" fillId="10" borderId="3" xfId="6" applyFont="1" applyFill="1" applyBorder="1" applyAlignment="1">
      <alignment horizontal="center" vertical="top"/>
    </xf>
    <xf numFmtId="0" fontId="33" fillId="0" borderId="3" xfId="6" applyFont="1" applyBorder="1" applyAlignment="1" applyProtection="1">
      <alignment horizontal="left" vertical="top"/>
      <protection locked="0"/>
    </xf>
    <xf numFmtId="0" fontId="33" fillId="7" borderId="3" xfId="6" applyFont="1" applyFill="1" applyBorder="1" applyAlignment="1" applyProtection="1">
      <alignment horizontal="left" vertical="top"/>
      <protection locked="0"/>
    </xf>
    <xf numFmtId="0" fontId="33" fillId="7" borderId="8" xfId="6" applyFont="1" applyFill="1" applyBorder="1" applyAlignment="1" applyProtection="1">
      <alignment horizontal="left" vertical="top"/>
      <protection locked="0"/>
    </xf>
    <xf numFmtId="170" fontId="18" fillId="0" borderId="3" xfId="6" applyNumberFormat="1" applyFont="1" applyBorder="1" applyAlignment="1" applyProtection="1">
      <alignment horizontal="left" vertical="top"/>
      <protection locked="0"/>
    </xf>
    <xf numFmtId="0" fontId="0" fillId="0" borderId="3" xfId="0" applyBorder="1" applyAlignment="1">
      <alignment horizontal="center"/>
    </xf>
    <xf numFmtId="0" fontId="13" fillId="6" borderId="22" xfId="0" applyFont="1" applyFill="1" applyBorder="1" applyAlignment="1">
      <alignment horizontal="center"/>
    </xf>
    <xf numFmtId="0" fontId="2" fillId="6" borderId="3" xfId="0" applyFont="1" applyFill="1" applyBorder="1" applyAlignment="1">
      <alignment vertical="center" wrapText="1"/>
    </xf>
    <xf numFmtId="0" fontId="0" fillId="6" borderId="3" xfId="0" applyFill="1" applyBorder="1" applyAlignment="1">
      <alignment horizontal="center"/>
    </xf>
    <xf numFmtId="0" fontId="13" fillId="0" borderId="0" xfId="0" applyFont="1" applyAlignment="1">
      <alignment horizontal="center"/>
    </xf>
    <xf numFmtId="0" fontId="0" fillId="5" borderId="3" xfId="0" applyFill="1" applyBorder="1" applyAlignment="1">
      <alignment horizontal="left"/>
    </xf>
    <xf numFmtId="0" fontId="0" fillId="5" borderId="3" xfId="0" applyFill="1" applyBorder="1" applyAlignment="1">
      <alignment horizontal="left" wrapText="1"/>
    </xf>
    <xf numFmtId="0" fontId="0" fillId="5" borderId="3" xfId="0" applyFill="1" applyBorder="1" applyAlignment="1">
      <alignment wrapText="1"/>
    </xf>
    <xf numFmtId="0" fontId="13" fillId="6" borderId="3" xfId="0" applyFont="1" applyFill="1" applyBorder="1" applyAlignment="1">
      <alignment horizontal="center" wrapText="1"/>
    </xf>
  </cellXfs>
  <cellStyles count="10">
    <cellStyle name="Comma" xfId="1" builtinId="3"/>
    <cellStyle name="Comma 10" xfId="3" xr:uid="{00000000-0005-0000-0000-000006000000}"/>
    <cellStyle name="Comma 2" xfId="4" xr:uid="{00000000-0005-0000-0000-000007000000}"/>
    <cellStyle name="Comma 3" xfId="5" xr:uid="{00000000-0005-0000-0000-000008000000}"/>
    <cellStyle name="Nor}al 2" xfId="8" xr:uid="{00000000-0005-0000-0000-00000B000000}"/>
    <cellStyle name="Normal" xfId="0" builtinId="0"/>
    <cellStyle name="Normal 2" xfId="6" xr:uid="{00000000-0005-0000-0000-000009000000}"/>
    <cellStyle name="Normal 23" xfId="7" xr:uid="{00000000-0005-0000-0000-00000A000000}"/>
    <cellStyle name="Percent" xfId="2" builtinId="5"/>
    <cellStyle name="Percent 2" xfId="9" xr:uid="{00000000-0005-0000-0000-00000C000000}"/>
  </cellStyles>
  <dxfs count="52">
    <dxf>
      <font>
        <sz val="11"/>
        <color rgb="FF000000"/>
        <name val="Calibri"/>
        <charset val="1"/>
      </font>
    </dxf>
    <dxf>
      <font>
        <sz val="11"/>
        <color rgb="FF000000"/>
        <name val="Calibri"/>
        <charset val="1"/>
      </font>
    </dxf>
    <dxf>
      <font>
        <sz val="11"/>
        <color rgb="FF000000"/>
        <name val="Calibri"/>
        <charset val="1"/>
      </font>
    </dxf>
    <dxf>
      <font>
        <sz val="11"/>
        <color rgb="FF000000"/>
        <name val="Calibri"/>
        <charset val="1"/>
      </font>
    </dxf>
    <dxf>
      <font>
        <sz val="11"/>
        <color rgb="FF000000"/>
        <name val="Calibri"/>
        <charset val="1"/>
      </font>
    </dxf>
    <dxf>
      <font>
        <sz val="11"/>
        <color rgb="FF000000"/>
        <name val="Calibri"/>
        <charset val="1"/>
      </font>
    </dxf>
    <dxf>
      <font>
        <sz val="11"/>
        <color rgb="FF000000"/>
        <name val="Calibri"/>
        <charset val="1"/>
      </font>
    </dxf>
    <dxf>
      <font>
        <sz val="11"/>
        <color rgb="FF000000"/>
        <name val="Calibri"/>
        <charset val="1"/>
      </font>
    </dxf>
    <dxf>
      <font>
        <sz val="11"/>
        <color rgb="FF000000"/>
        <name val="Calibri"/>
        <charset val="1"/>
      </font>
    </dxf>
    <dxf>
      <font>
        <sz val="11"/>
        <color rgb="FF000000"/>
        <name val="Calibri"/>
        <charset val="1"/>
      </font>
    </dxf>
    <dxf>
      <font>
        <sz val="11"/>
        <color rgb="FF000000"/>
        <name val="Calibri"/>
        <charset val="1"/>
      </font>
    </dxf>
    <dxf>
      <font>
        <sz val="11"/>
        <color rgb="FF000000"/>
        <name val="Calibri"/>
        <charset val="1"/>
      </font>
    </dxf>
    <dxf>
      <font>
        <sz val="11"/>
        <color rgb="FF000000"/>
        <name val="Calibri"/>
        <charset val="1"/>
      </font>
    </dxf>
    <dxf>
      <font>
        <sz val="11"/>
        <color rgb="FF000000"/>
        <name val="Calibri"/>
        <charset val="1"/>
      </font>
    </dxf>
    <dxf>
      <font>
        <sz val="11"/>
        <color rgb="FF000000"/>
        <name val="Calibri"/>
        <charset val="1"/>
      </font>
    </dxf>
    <dxf>
      <font>
        <sz val="11"/>
        <color rgb="FF000000"/>
        <name val="Calibri"/>
        <charset val="1"/>
      </font>
    </dxf>
    <dxf>
      <font>
        <sz val="11"/>
        <color rgb="FF000000"/>
        <name val="Calibri"/>
        <charset val="1"/>
      </font>
    </dxf>
    <dxf>
      <font>
        <sz val="11"/>
        <color rgb="FF000000"/>
        <name val="Calibri"/>
        <charset val="1"/>
      </font>
    </dxf>
    <dxf>
      <font>
        <sz val="11"/>
        <color rgb="FF000000"/>
        <name val="Calibri"/>
        <charset val="1"/>
      </font>
    </dxf>
    <dxf>
      <font>
        <sz val="11"/>
        <color rgb="FF000000"/>
        <name val="Calibri"/>
        <charset val="1"/>
      </font>
    </dxf>
    <dxf>
      <font>
        <sz val="11"/>
        <color rgb="FF000000"/>
        <name val="Calibri"/>
        <charset val="1"/>
      </font>
    </dxf>
    <dxf>
      <font>
        <sz val="11"/>
        <color rgb="FF000000"/>
        <name val="Calibri"/>
        <charset val="1"/>
      </font>
    </dxf>
    <dxf>
      <font>
        <sz val="11"/>
        <color rgb="FF000000"/>
        <name val="Calibri"/>
        <charset val="1"/>
      </font>
    </dxf>
    <dxf>
      <font>
        <sz val="11"/>
        <color rgb="FF000000"/>
        <name val="Calibri"/>
        <charset val="1"/>
      </font>
    </dxf>
    <dxf>
      <font>
        <sz val="11"/>
        <color rgb="FF000000"/>
        <name val="Calibri"/>
        <charset val="1"/>
      </font>
    </dxf>
    <dxf>
      <font>
        <sz val="11"/>
        <color rgb="FF000000"/>
        <name val="Calibri"/>
        <charset val="1"/>
      </font>
    </dxf>
    <dxf>
      <font>
        <sz val="11"/>
        <color rgb="FF000000"/>
        <name val="Calibri"/>
        <charset val="1"/>
      </font>
    </dxf>
    <dxf>
      <font>
        <sz val="11"/>
        <color rgb="FF000000"/>
        <name val="Calibri"/>
        <charset val="1"/>
      </font>
    </dxf>
    <dxf>
      <font>
        <sz val="11"/>
        <color rgb="FF000000"/>
        <name val="Calibri"/>
        <charset val="1"/>
      </font>
    </dxf>
    <dxf>
      <font>
        <sz val="11"/>
        <color rgb="FF000000"/>
        <name val="Calibri"/>
        <charset val="1"/>
      </font>
    </dxf>
    <dxf>
      <font>
        <sz val="11"/>
        <color rgb="FF000000"/>
        <name val="Calibri"/>
        <charset val="1"/>
      </font>
    </dxf>
    <dxf>
      <font>
        <sz val="11"/>
        <color rgb="FF000000"/>
        <name val="Calibri"/>
        <charset val="1"/>
      </font>
    </dxf>
    <dxf>
      <font>
        <sz val="11"/>
        <color rgb="FF000000"/>
        <name val="Calibri"/>
        <charset val="1"/>
      </font>
    </dxf>
    <dxf>
      <font>
        <sz val="11"/>
        <color rgb="FF000000"/>
        <name val="Calibri"/>
        <charset val="1"/>
      </font>
    </dxf>
    <dxf>
      <font>
        <sz val="11"/>
        <color rgb="FF000000"/>
        <name val="Calibri"/>
        <charset val="1"/>
      </font>
    </dxf>
    <dxf>
      <font>
        <sz val="11"/>
        <color rgb="FF000000"/>
        <name val="Calibri"/>
        <charset val="1"/>
      </font>
    </dxf>
    <dxf>
      <font>
        <sz val="11"/>
        <color rgb="FF000000"/>
        <name val="Calibri"/>
        <charset val="1"/>
      </font>
    </dxf>
    <dxf>
      <font>
        <sz val="11"/>
        <color rgb="FF000000"/>
        <name val="Calibri"/>
        <charset val="1"/>
      </font>
    </dxf>
    <dxf>
      <font>
        <sz val="11"/>
        <color rgb="FF000000"/>
        <name val="Calibri"/>
        <charset val="1"/>
      </font>
    </dxf>
    <dxf>
      <font>
        <sz val="11"/>
        <color rgb="FF000000"/>
        <name val="Calibri"/>
        <charset val="1"/>
      </font>
    </dxf>
    <dxf>
      <font>
        <sz val="11"/>
        <color rgb="FF000000"/>
        <name val="Calibri"/>
        <charset val="1"/>
      </font>
    </dxf>
    <dxf>
      <font>
        <sz val="11"/>
        <color rgb="FF000000"/>
        <name val="Calibri"/>
        <charset val="1"/>
      </font>
    </dxf>
    <dxf>
      <font>
        <sz val="11"/>
        <color rgb="FF000000"/>
        <name val="Calibri"/>
        <charset val="1"/>
      </font>
    </dxf>
    <dxf>
      <font>
        <sz val="11"/>
        <color rgb="FF000000"/>
        <name val="Calibri"/>
        <charset val="1"/>
      </font>
    </dxf>
    <dxf>
      <font>
        <sz val="11"/>
        <color rgb="FF000000"/>
        <name val="Calibri"/>
        <charset val="1"/>
      </font>
    </dxf>
    <dxf>
      <font>
        <sz val="11"/>
        <color rgb="FF000000"/>
        <name val="Calibri"/>
        <charset val="1"/>
      </font>
    </dxf>
    <dxf>
      <font>
        <sz val="11"/>
        <color rgb="FF000000"/>
        <name val="Calibri"/>
        <charset val="1"/>
      </font>
    </dxf>
    <dxf>
      <font>
        <b/>
        <sz val="10"/>
        <color rgb="FF9C6500"/>
        <name val="Calibri"/>
        <charset val="1"/>
      </font>
      <fill>
        <patternFill>
          <bgColor rgb="FFFFEB9C"/>
        </patternFill>
      </fill>
    </dxf>
    <dxf>
      <font>
        <b/>
        <sz val="10"/>
        <color rgb="FF9C0006"/>
        <name val="Calibri"/>
        <charset val="1"/>
      </font>
      <fill>
        <patternFill>
          <bgColor rgb="FFFFC7CE"/>
        </patternFill>
      </fill>
    </dxf>
    <dxf>
      <font>
        <b/>
        <sz val="10"/>
        <color rgb="FF006100"/>
        <name val="Calibri"/>
        <charset val="1"/>
      </font>
      <fill>
        <patternFill>
          <bgColor rgb="FFC6EFCE"/>
        </patternFill>
      </fill>
    </dxf>
    <dxf>
      <font>
        <b/>
        <sz val="10"/>
        <color rgb="FF375623"/>
        <name val="Arial"/>
        <charset val="1"/>
      </font>
      <fill>
        <patternFill>
          <bgColor rgb="FFE2EFDA"/>
        </patternFill>
      </fill>
    </dxf>
    <dxf>
      <font>
        <b/>
        <sz val="10"/>
        <color rgb="FFC00000"/>
        <name val="Arial"/>
        <charset val="1"/>
      </font>
      <fill>
        <patternFill>
          <bgColor rgb="FFFCE4E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DCE6F1"/>
      <rgbColor rgb="FF993366"/>
      <rgbColor rgb="FFF2F2F2"/>
      <rgbColor rgb="FFE2EFD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DCE6F2"/>
      <rgbColor rgb="FFC6EFCE"/>
      <rgbColor rgb="FFFFEB9C"/>
      <rgbColor rgb="FFB7B7B7"/>
      <rgbColor rgb="FFFCE4E4"/>
      <rgbColor rgb="FFD9E1F2"/>
      <rgbColor rgb="FFFFC7CE"/>
      <rgbColor rgb="FF2E75B6"/>
      <rgbColor rgb="FF33CCCC"/>
      <rgbColor rgb="FF99CC00"/>
      <rgbColor rgb="FFFFCC00"/>
      <rgbColor rgb="FFFF9900"/>
      <rgbColor rgb="FFC55A11"/>
      <rgbColor rgb="FF595959"/>
      <rgbColor rgb="FF7F7F7F"/>
      <rgbColor rgb="FF1F3864"/>
      <rgbColor rgb="FF548235"/>
      <rgbColor rgb="FF003300"/>
      <rgbColor rgb="FF375623"/>
      <rgbColor rgb="FF993300"/>
      <rgbColor rgb="FF993366"/>
      <rgbColor rgb="FF2E5395"/>
      <rgbColor rgb="FF25406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Z:/Brian_Avanse/Proposals/11.%20Jul-17/Sri%20Chinthaamani%20Vinayagar%20Educational%20Trust/Credit_Evaluation_Tool_Sri%20Chinthaamani%20Vinayagar%20Educational%20Trust.xlsx" TargetMode="External"/><Relationship Id="rId1" Type="http://schemas.openxmlformats.org/officeDocument/2006/relationships/externalLinkPath" Target="/Users/Z:/Brian_Avanse/Proposals/11.%20Jul-17/Sri%20Chinthaamani%20Vinayagar%20Educational%20Trust/Credit_Evaluation_Tool_Sri%20Chinthaamani%20Vinayagar%20Educational%20Trust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Akilandeswari.v/Downloads/CAM%20OF%20RMS%20EDUCATION%20SOCIETY.xlsx" TargetMode="External"/><Relationship Id="rId1" Type="http://schemas.openxmlformats.org/officeDocument/2006/relationships/externalLinkPath" Target="/Users/Users/Akilandeswari.v/Downloads/CAM%20OF%20RMS%20EDUCATION%20SOCIET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Workings"/>
      <sheetName val="Main Sheet"/>
      <sheetName val="Fin-1"/>
      <sheetName val="Fin-2"/>
      <sheetName val="Cashflow-Fin-1"/>
      <sheetName val="Banking"/>
      <sheetName val="Banking Summary"/>
      <sheetName val="MO"/>
      <sheetName val="RTR"/>
      <sheetName val="Repayment Calculator"/>
      <sheetName val="Sheet1"/>
      <sheetName val="CAM"/>
      <sheetName val="Ind Margin"/>
      <sheetName val="ind.margin."/>
      <sheetName val="Pharmacy"/>
      <sheetName val="ITI"/>
      <sheetName val="Key loan summary "/>
      <sheetName val="RTR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Workings"/>
      <sheetName val="List of Trustees"/>
      <sheetName val="Student Data"/>
      <sheetName val="UDISE"/>
      <sheetName val="Fin -1"/>
      <sheetName val="Fin -2"/>
      <sheetName val="Fin -3"/>
      <sheetName val="Consolidated"/>
      <sheetName val="Eligibility - Audited"/>
      <sheetName val="Eligibility - Assessed"/>
      <sheetName val="Eligibility - Unsecured"/>
      <sheetName val="Banking &amp; Banking Summary"/>
      <sheetName val="MO"/>
      <sheetName val="Repayment Track"/>
      <sheetName val="Repayment Calculator"/>
      <sheetName val="Sheet1"/>
      <sheetName val="RTR"/>
      <sheetName val="Internal rating score"/>
      <sheetName val="CIBIL Details"/>
      <sheetName val="RTR 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08080"/>
  </sheetPr>
  <dimension ref="A1:I24"/>
  <sheetViews>
    <sheetView zoomScaleNormal="100" workbookViewId="0">
      <pane ySplit="4" topLeftCell="A5" activePane="bottomLeft" state="frozen"/>
      <selection pane="bottomLeft" activeCell="C4" sqref="C4"/>
    </sheetView>
  </sheetViews>
  <sheetFormatPr defaultColWidth="8.6640625" defaultRowHeight="14.4" x14ac:dyDescent="0.3"/>
  <cols>
    <col min="1" max="1" width="5.33203125" customWidth="1"/>
    <col min="2" max="2" width="14.33203125" customWidth="1"/>
    <col min="3" max="3" width="28.33203125" customWidth="1"/>
    <col min="4" max="4" width="13.109375" customWidth="1"/>
    <col min="5" max="5" width="51.6640625" customWidth="1"/>
    <col min="6" max="6" width="21.88671875" customWidth="1"/>
    <col min="7" max="7" width="10" customWidth="1"/>
    <col min="8" max="8" width="14.109375" customWidth="1"/>
    <col min="9" max="9" width="15.88671875" customWidth="1"/>
  </cols>
  <sheetData>
    <row r="1" spans="1:9" ht="20.25" customHeight="1" x14ac:dyDescent="0.3">
      <c r="A1" s="360" t="s">
        <v>0</v>
      </c>
      <c r="B1" s="360"/>
      <c r="C1" s="360"/>
      <c r="D1" s="360"/>
      <c r="E1" s="360"/>
      <c r="F1" s="360"/>
      <c r="G1" s="360"/>
      <c r="H1" s="360"/>
      <c r="I1" s="360"/>
    </row>
    <row r="2" spans="1:9" x14ac:dyDescent="0.3">
      <c r="A2" s="361" t="s">
        <v>1</v>
      </c>
      <c r="B2" s="361"/>
      <c r="C2" s="361"/>
      <c r="D2" s="361"/>
      <c r="E2" s="361"/>
      <c r="F2" s="361"/>
      <c r="G2" s="361"/>
      <c r="H2" s="361"/>
      <c r="I2" s="361"/>
    </row>
    <row r="4" spans="1:9" x14ac:dyDescent="0.3">
      <c r="A4" s="15" t="s">
        <v>2</v>
      </c>
      <c r="B4" s="15" t="s">
        <v>3</v>
      </c>
      <c r="C4" s="15" t="s">
        <v>4</v>
      </c>
      <c r="D4" s="15" t="s">
        <v>5</v>
      </c>
      <c r="E4" s="15" t="s">
        <v>6</v>
      </c>
      <c r="F4" s="15" t="s">
        <v>7</v>
      </c>
      <c r="G4" s="15" t="s">
        <v>8</v>
      </c>
      <c r="H4" s="15" t="s">
        <v>9</v>
      </c>
      <c r="I4" s="15" t="s">
        <v>10</v>
      </c>
    </row>
    <row r="5" spans="1:9" x14ac:dyDescent="0.3">
      <c r="A5" s="16">
        <v>1</v>
      </c>
      <c r="B5" s="17" t="s">
        <v>11</v>
      </c>
      <c r="C5" s="18" t="s">
        <v>12</v>
      </c>
      <c r="D5" s="18" t="s">
        <v>13</v>
      </c>
      <c r="E5" s="18" t="s">
        <v>13</v>
      </c>
      <c r="F5" s="18" t="s">
        <v>14</v>
      </c>
      <c r="G5" s="16" t="s">
        <v>15</v>
      </c>
      <c r="H5" s="19"/>
      <c r="I5" s="20" t="str">
        <f>IF(H5="","-",IF(H5&gt;0,"Deviation","Within Norms"))</f>
        <v>-</v>
      </c>
    </row>
    <row r="6" spans="1:9" x14ac:dyDescent="0.3">
      <c r="A6" s="21">
        <v>2</v>
      </c>
      <c r="B6" s="22" t="s">
        <v>11</v>
      </c>
      <c r="C6" s="23" t="s">
        <v>12</v>
      </c>
      <c r="D6" s="23" t="s">
        <v>13</v>
      </c>
      <c r="E6" s="23" t="s">
        <v>13</v>
      </c>
      <c r="F6" s="23" t="s">
        <v>16</v>
      </c>
      <c r="G6" s="16" t="s">
        <v>15</v>
      </c>
      <c r="H6" s="24"/>
      <c r="I6" s="20" t="str">
        <f t="shared" ref="I6:I19" si="0">IF(H6="","-",IF(H6&gt;60,"Deviation","Within Norms"))</f>
        <v>-</v>
      </c>
    </row>
    <row r="7" spans="1:9" x14ac:dyDescent="0.3">
      <c r="A7" s="16">
        <v>3</v>
      </c>
      <c r="B7" s="17" t="s">
        <v>11</v>
      </c>
      <c r="C7" s="18" t="s">
        <v>17</v>
      </c>
      <c r="D7" s="18" t="s">
        <v>13</v>
      </c>
      <c r="E7" s="18" t="s">
        <v>13</v>
      </c>
      <c r="F7" s="18" t="s">
        <v>14</v>
      </c>
      <c r="G7" s="16" t="s">
        <v>15</v>
      </c>
      <c r="H7" s="19"/>
      <c r="I7" s="20" t="str">
        <f t="shared" si="0"/>
        <v>-</v>
      </c>
    </row>
    <row r="8" spans="1:9" x14ac:dyDescent="0.3">
      <c r="A8" s="21">
        <v>4</v>
      </c>
      <c r="B8" s="22" t="s">
        <v>11</v>
      </c>
      <c r="C8" s="23" t="s">
        <v>17</v>
      </c>
      <c r="D8" s="23" t="s">
        <v>13</v>
      </c>
      <c r="E8" s="23" t="s">
        <v>13</v>
      </c>
      <c r="F8" s="23" t="s">
        <v>16</v>
      </c>
      <c r="G8" s="16" t="s">
        <v>15</v>
      </c>
      <c r="H8" s="24"/>
      <c r="I8" s="20" t="str">
        <f t="shared" si="0"/>
        <v>-</v>
      </c>
    </row>
    <row r="9" spans="1:9" x14ac:dyDescent="0.3">
      <c r="A9" s="16">
        <v>5</v>
      </c>
      <c r="B9" s="17" t="s">
        <v>18</v>
      </c>
      <c r="C9" s="18" t="s">
        <v>19</v>
      </c>
      <c r="D9" s="18" t="s">
        <v>13</v>
      </c>
      <c r="E9" s="18" t="s">
        <v>13</v>
      </c>
      <c r="F9" s="18" t="s">
        <v>14</v>
      </c>
      <c r="G9" s="16" t="s">
        <v>15</v>
      </c>
      <c r="H9" s="19"/>
      <c r="I9" s="20" t="str">
        <f t="shared" si="0"/>
        <v>-</v>
      </c>
    </row>
    <row r="10" spans="1:9" x14ac:dyDescent="0.3">
      <c r="A10" s="21">
        <v>6</v>
      </c>
      <c r="B10" s="22" t="s">
        <v>18</v>
      </c>
      <c r="C10" s="23" t="s">
        <v>19</v>
      </c>
      <c r="D10" s="23" t="s">
        <v>13</v>
      </c>
      <c r="E10" s="23" t="s">
        <v>13</v>
      </c>
      <c r="F10" s="23" t="s">
        <v>16</v>
      </c>
      <c r="G10" s="16" t="s">
        <v>15</v>
      </c>
      <c r="H10" s="24"/>
      <c r="I10" s="20" t="str">
        <f t="shared" si="0"/>
        <v>-</v>
      </c>
    </row>
    <row r="11" spans="1:9" x14ac:dyDescent="0.3">
      <c r="A11" s="16">
        <v>7</v>
      </c>
      <c r="B11" s="17" t="s">
        <v>18</v>
      </c>
      <c r="C11" s="18" t="s">
        <v>20</v>
      </c>
      <c r="D11" s="18" t="s">
        <v>13</v>
      </c>
      <c r="E11" s="18" t="s">
        <v>13</v>
      </c>
      <c r="F11" s="18" t="s">
        <v>14</v>
      </c>
      <c r="G11" s="16" t="s">
        <v>15</v>
      </c>
      <c r="H11" s="19"/>
      <c r="I11" s="20" t="str">
        <f t="shared" si="0"/>
        <v>-</v>
      </c>
    </row>
    <row r="12" spans="1:9" x14ac:dyDescent="0.3">
      <c r="A12" s="21">
        <v>8</v>
      </c>
      <c r="B12" s="22" t="s">
        <v>18</v>
      </c>
      <c r="C12" s="23" t="s">
        <v>20</v>
      </c>
      <c r="D12" s="23" t="s">
        <v>13</v>
      </c>
      <c r="E12" s="23" t="s">
        <v>13</v>
      </c>
      <c r="F12" s="23" t="s">
        <v>16</v>
      </c>
      <c r="G12" s="16" t="s">
        <v>15</v>
      </c>
      <c r="H12" s="24"/>
      <c r="I12" s="20" t="str">
        <f t="shared" si="0"/>
        <v>-</v>
      </c>
    </row>
    <row r="13" spans="1:9" x14ac:dyDescent="0.3">
      <c r="A13" s="16">
        <v>9</v>
      </c>
      <c r="B13" s="17" t="s">
        <v>21</v>
      </c>
      <c r="C13" s="18" t="s">
        <v>13</v>
      </c>
      <c r="D13" s="18" t="s">
        <v>13</v>
      </c>
      <c r="E13" s="18" t="s">
        <v>13</v>
      </c>
      <c r="F13" s="18" t="s">
        <v>16</v>
      </c>
      <c r="G13" s="16" t="s">
        <v>15</v>
      </c>
      <c r="H13" s="19"/>
      <c r="I13" s="20" t="str">
        <f t="shared" si="0"/>
        <v>-</v>
      </c>
    </row>
    <row r="14" spans="1:9" x14ac:dyDescent="0.3">
      <c r="A14" s="21">
        <v>10</v>
      </c>
      <c r="B14" s="22" t="s">
        <v>22</v>
      </c>
      <c r="C14" s="23" t="s">
        <v>23</v>
      </c>
      <c r="D14" s="23" t="s">
        <v>14</v>
      </c>
      <c r="E14" s="23" t="s">
        <v>24</v>
      </c>
      <c r="F14" s="23" t="s">
        <v>14</v>
      </c>
      <c r="G14" s="16" t="s">
        <v>15</v>
      </c>
      <c r="H14" s="24"/>
      <c r="I14" s="25" t="str">
        <f t="shared" si="0"/>
        <v>-</v>
      </c>
    </row>
    <row r="15" spans="1:9" x14ac:dyDescent="0.3">
      <c r="A15" s="16">
        <v>11</v>
      </c>
      <c r="B15" s="17" t="s">
        <v>22</v>
      </c>
      <c r="C15" s="18" t="s">
        <v>23</v>
      </c>
      <c r="D15" s="18" t="s">
        <v>16</v>
      </c>
      <c r="E15" s="18" t="s">
        <v>24</v>
      </c>
      <c r="F15" s="18" t="s">
        <v>16</v>
      </c>
      <c r="G15" s="16" t="s">
        <v>15</v>
      </c>
      <c r="H15" s="19"/>
      <c r="I15" s="20" t="str">
        <f t="shared" si="0"/>
        <v>-</v>
      </c>
    </row>
    <row r="16" spans="1:9" x14ac:dyDescent="0.3">
      <c r="A16" s="21">
        <v>12</v>
      </c>
      <c r="B16" s="22" t="s">
        <v>22</v>
      </c>
      <c r="C16" s="23" t="s">
        <v>25</v>
      </c>
      <c r="D16" s="23" t="s">
        <v>14</v>
      </c>
      <c r="E16" s="23" t="s">
        <v>24</v>
      </c>
      <c r="F16" s="23" t="s">
        <v>14</v>
      </c>
      <c r="G16" s="16" t="s">
        <v>15</v>
      </c>
      <c r="H16" s="24"/>
      <c r="I16" s="20" t="str">
        <f t="shared" si="0"/>
        <v>-</v>
      </c>
    </row>
    <row r="17" spans="1:9" x14ac:dyDescent="0.3">
      <c r="A17" s="16">
        <v>13</v>
      </c>
      <c r="B17" s="17" t="s">
        <v>22</v>
      </c>
      <c r="C17" s="18" t="s">
        <v>25</v>
      </c>
      <c r="D17" s="18" t="s">
        <v>16</v>
      </c>
      <c r="E17" s="18" t="s">
        <v>24</v>
      </c>
      <c r="F17" s="18" t="s">
        <v>16</v>
      </c>
      <c r="G17" s="16" t="s">
        <v>15</v>
      </c>
      <c r="H17" s="19"/>
      <c r="I17" s="20" t="str">
        <f t="shared" si="0"/>
        <v>-</v>
      </c>
    </row>
    <row r="18" spans="1:9" x14ac:dyDescent="0.3">
      <c r="A18" s="21">
        <v>14</v>
      </c>
      <c r="B18" s="22" t="s">
        <v>26</v>
      </c>
      <c r="C18" s="23" t="s">
        <v>27</v>
      </c>
      <c r="D18" s="18" t="s">
        <v>16</v>
      </c>
      <c r="E18" s="23"/>
      <c r="F18" s="23" t="s">
        <v>28</v>
      </c>
      <c r="G18" s="21" t="s">
        <v>15</v>
      </c>
      <c r="H18" s="24"/>
      <c r="I18" s="20" t="str">
        <f t="shared" si="0"/>
        <v>-</v>
      </c>
    </row>
    <row r="19" spans="1:9" x14ac:dyDescent="0.3">
      <c r="A19" s="16">
        <v>15</v>
      </c>
      <c r="B19" s="17" t="s">
        <v>26</v>
      </c>
      <c r="C19" s="18" t="s">
        <v>29</v>
      </c>
      <c r="D19" s="18" t="s">
        <v>16</v>
      </c>
      <c r="E19" s="23"/>
      <c r="F19" s="18" t="s">
        <v>28</v>
      </c>
      <c r="G19" s="16" t="s">
        <v>15</v>
      </c>
      <c r="H19" s="19"/>
      <c r="I19" s="20" t="str">
        <f t="shared" si="0"/>
        <v>-</v>
      </c>
    </row>
    <row r="21" spans="1:9" ht="15" customHeight="1" x14ac:dyDescent="0.3">
      <c r="A21" s="362" t="s">
        <v>30</v>
      </c>
      <c r="B21" s="362"/>
      <c r="C21" s="362"/>
      <c r="D21" s="362"/>
      <c r="E21" s="362"/>
      <c r="F21" s="362"/>
      <c r="G21" s="362"/>
      <c r="H21" s="362"/>
      <c r="I21" s="362"/>
    </row>
    <row r="22" spans="1:9" x14ac:dyDescent="0.3">
      <c r="A22" s="362"/>
      <c r="B22" s="362"/>
      <c r="C22" s="362"/>
      <c r="D22" s="362"/>
      <c r="E22" s="362"/>
      <c r="F22" s="362"/>
      <c r="G22" s="362"/>
      <c r="H22" s="362"/>
      <c r="I22" s="362"/>
    </row>
    <row r="23" spans="1:9" x14ac:dyDescent="0.3">
      <c r="A23" s="362"/>
      <c r="B23" s="362"/>
      <c r="C23" s="362"/>
      <c r="D23" s="362"/>
      <c r="E23" s="362"/>
      <c r="F23" s="362"/>
      <c r="G23" s="362"/>
      <c r="H23" s="362"/>
      <c r="I23" s="362"/>
    </row>
    <row r="24" spans="1:9" x14ac:dyDescent="0.3">
      <c r="A24" s="362"/>
      <c r="B24" s="362"/>
      <c r="C24" s="362"/>
      <c r="D24" s="362"/>
      <c r="E24" s="362"/>
      <c r="F24" s="362"/>
      <c r="G24" s="362"/>
      <c r="H24" s="362"/>
      <c r="I24" s="362"/>
    </row>
  </sheetData>
  <mergeCells count="3">
    <mergeCell ref="A1:I1"/>
    <mergeCell ref="A2:I2"/>
    <mergeCell ref="A21:I24"/>
  </mergeCells>
  <conditionalFormatting sqref="I5:I19">
    <cfRule type="expression" dxfId="51" priority="2">
      <formula>I5="Deviation"</formula>
    </cfRule>
    <cfRule type="expression" dxfId="50" priority="3">
      <formula>I5="Within Norms"</formula>
    </cfRule>
  </conditionalFormatting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</sheetPr>
  <dimension ref="A1:XFD80"/>
  <sheetViews>
    <sheetView showGridLines="0" zoomScale="90" zoomScaleNormal="9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C49" sqref="C49"/>
    </sheetView>
  </sheetViews>
  <sheetFormatPr defaultColWidth="8.6640625" defaultRowHeight="14.4" x14ac:dyDescent="0.3"/>
  <cols>
    <col min="1" max="1" width="8.88671875" customWidth="1"/>
    <col min="2" max="2" width="19.88671875" customWidth="1"/>
    <col min="3" max="3" width="16.33203125" customWidth="1"/>
    <col min="4" max="4" width="19.6640625" customWidth="1"/>
    <col min="5" max="5" width="20.6640625" customWidth="1"/>
    <col min="6" max="6" width="28.44140625" customWidth="1"/>
    <col min="7" max="7" width="16.44140625" customWidth="1"/>
    <col min="8" max="8" width="11.109375" customWidth="1"/>
    <col min="9" max="9" width="14.6640625" customWidth="1"/>
    <col min="10" max="10" width="10.33203125" customWidth="1"/>
    <col min="12" max="12" width="32" customWidth="1"/>
    <col min="13" max="13" width="14" customWidth="1"/>
    <col min="14" max="14" width="10" customWidth="1"/>
    <col min="15" max="15" width="14" customWidth="1"/>
    <col min="16" max="16" width="16" customWidth="1"/>
    <col min="17" max="19" width="12" customWidth="1"/>
    <col min="16382" max="16382" width="41.5546875" customWidth="1"/>
    <col min="16383" max="16383" width="8.88671875" customWidth="1"/>
    <col min="16384" max="16384" width="18.44140625" hidden="1" customWidth="1"/>
  </cols>
  <sheetData>
    <row r="1" spans="2:19 16382:16384" ht="25.5" customHeight="1" x14ac:dyDescent="0.3">
      <c r="B1" t="s">
        <v>31</v>
      </c>
      <c r="L1" s="14" t="s">
        <v>32</v>
      </c>
      <c r="M1" s="14"/>
      <c r="N1" s="14"/>
      <c r="O1" s="14"/>
      <c r="P1" s="14"/>
      <c r="Q1" s="14"/>
      <c r="R1" s="14"/>
      <c r="S1" s="14"/>
    </row>
    <row r="2" spans="2:19 16382:16384" ht="24" customHeight="1" x14ac:dyDescent="0.3">
      <c r="B2" s="13" t="s">
        <v>33</v>
      </c>
      <c r="C2" s="13"/>
      <c r="D2" s="13"/>
      <c r="E2" s="13"/>
      <c r="F2" s="13"/>
      <c r="G2" s="13"/>
      <c r="H2" s="13"/>
      <c r="I2" s="13"/>
      <c r="J2" s="13"/>
      <c r="L2" s="12" t="s">
        <v>34</v>
      </c>
      <c r="M2" s="12"/>
      <c r="N2" s="12"/>
      <c r="O2" s="12"/>
      <c r="P2" s="12"/>
      <c r="Q2" s="12"/>
      <c r="R2" s="12"/>
      <c r="S2" s="12"/>
      <c r="XFB2" t="s">
        <v>35</v>
      </c>
    </row>
    <row r="3" spans="2:19 16382:16384" ht="15.75" customHeight="1" x14ac:dyDescent="0.3">
      <c r="B3" s="11" t="s">
        <v>11</v>
      </c>
      <c r="C3" s="11"/>
      <c r="D3" s="11"/>
      <c r="E3" s="11"/>
      <c r="F3" s="11"/>
      <c r="G3" s="11"/>
      <c r="H3" s="11"/>
      <c r="I3" s="11"/>
      <c r="J3" s="11"/>
      <c r="XFB3" t="s">
        <v>36</v>
      </c>
    </row>
    <row r="4" spans="2:19 16382:16384" ht="15" customHeight="1" x14ac:dyDescent="0.3">
      <c r="B4" s="26" t="s">
        <v>37</v>
      </c>
      <c r="C4" s="10"/>
      <c r="D4" s="10"/>
      <c r="E4" s="10"/>
      <c r="F4" s="9" t="s">
        <v>38</v>
      </c>
      <c r="G4" s="9"/>
      <c r="H4" s="27"/>
      <c r="I4" s="8"/>
      <c r="J4" s="8"/>
      <c r="L4" s="7" t="s">
        <v>39</v>
      </c>
      <c r="M4" s="7"/>
      <c r="N4" s="7"/>
      <c r="O4" s="7"/>
      <c r="P4" s="7"/>
      <c r="Q4" s="7"/>
      <c r="R4" s="7"/>
      <c r="S4" s="7"/>
      <c r="XFB4" t="s">
        <v>40</v>
      </c>
    </row>
    <row r="5" spans="2:19 16382:16384" ht="15" customHeight="1" x14ac:dyDescent="0.3">
      <c r="B5" s="26" t="s">
        <v>41</v>
      </c>
      <c r="C5" s="10"/>
      <c r="D5" s="10"/>
      <c r="E5" s="10"/>
      <c r="F5" s="9" t="s">
        <v>42</v>
      </c>
      <c r="G5" s="9"/>
      <c r="H5" s="27"/>
      <c r="I5" s="6"/>
      <c r="J5" s="6"/>
      <c r="L5" s="28" t="s">
        <v>43</v>
      </c>
      <c r="M5" s="28" t="s">
        <v>44</v>
      </c>
      <c r="N5" s="28" t="s">
        <v>45</v>
      </c>
      <c r="O5" s="5" t="s">
        <v>46</v>
      </c>
      <c r="P5" s="5"/>
      <c r="Q5" s="5"/>
      <c r="R5" s="5"/>
      <c r="S5" s="5"/>
      <c r="XFB5" t="s">
        <v>47</v>
      </c>
    </row>
    <row r="6" spans="2:19 16382:16384" ht="15" customHeight="1" x14ac:dyDescent="0.3">
      <c r="B6" s="26" t="s">
        <v>48</v>
      </c>
      <c r="C6" s="10"/>
      <c r="D6" s="10"/>
      <c r="E6" s="10"/>
      <c r="F6" s="9" t="s">
        <v>49</v>
      </c>
      <c r="G6" s="9"/>
      <c r="H6" s="27"/>
      <c r="I6" s="6"/>
      <c r="J6" s="6"/>
      <c r="L6" s="29" t="s">
        <v>50</v>
      </c>
      <c r="M6" s="30">
        <f>C20</f>
        <v>0</v>
      </c>
      <c r="N6" s="31" t="s">
        <v>51</v>
      </c>
      <c r="O6" s="4"/>
      <c r="P6" s="4"/>
      <c r="Q6" s="4"/>
      <c r="R6" s="4"/>
      <c r="S6" s="4"/>
      <c r="XFB6" t="s">
        <v>52</v>
      </c>
    </row>
    <row r="7" spans="2:19 16382:16384" ht="30.75" customHeight="1" x14ac:dyDescent="0.3">
      <c r="B7" s="3" t="s">
        <v>53</v>
      </c>
      <c r="C7" s="33" t="s">
        <v>2</v>
      </c>
      <c r="D7" s="34" t="s">
        <v>54</v>
      </c>
      <c r="E7" s="34" t="s">
        <v>55</v>
      </c>
      <c r="F7" s="34" t="s">
        <v>56</v>
      </c>
      <c r="G7" s="35" t="s">
        <v>57</v>
      </c>
      <c r="H7" s="34" t="s">
        <v>58</v>
      </c>
      <c r="I7" s="34" t="s">
        <v>59</v>
      </c>
      <c r="J7" s="34" t="s">
        <v>60</v>
      </c>
      <c r="L7" s="29" t="s">
        <v>61</v>
      </c>
      <c r="M7" s="30">
        <f>C21</f>
        <v>0</v>
      </c>
      <c r="N7" s="31" t="s">
        <v>51</v>
      </c>
      <c r="O7" s="4" t="s">
        <v>62</v>
      </c>
      <c r="P7" s="4"/>
      <c r="Q7" s="4"/>
      <c r="R7" s="4"/>
      <c r="S7" s="4"/>
      <c r="XFB7" t="s">
        <v>63</v>
      </c>
      <c r="XFD7" t="s">
        <v>64</v>
      </c>
    </row>
    <row r="8" spans="2:19 16382:16384" ht="15" customHeight="1" x14ac:dyDescent="0.3">
      <c r="B8" s="3"/>
      <c r="C8" s="33">
        <v>1</v>
      </c>
      <c r="D8" s="36" t="s">
        <v>65</v>
      </c>
      <c r="E8" s="37"/>
      <c r="F8" s="37"/>
      <c r="G8" s="37"/>
      <c r="H8" s="37"/>
      <c r="I8" s="37"/>
      <c r="J8" s="37"/>
      <c r="L8" s="29" t="s">
        <v>66</v>
      </c>
      <c r="M8" s="38">
        <f>C22</f>
        <v>0</v>
      </c>
      <c r="N8" s="31" t="s">
        <v>67</v>
      </c>
      <c r="O8" s="4"/>
      <c r="P8" s="4"/>
      <c r="Q8" s="4"/>
      <c r="R8" s="4"/>
      <c r="S8" s="4"/>
      <c r="XFB8" t="s">
        <v>68</v>
      </c>
      <c r="XFD8" t="s">
        <v>69</v>
      </c>
    </row>
    <row r="9" spans="2:19 16382:16384" x14ac:dyDescent="0.3">
      <c r="B9" s="3"/>
      <c r="C9" s="33">
        <v>2</v>
      </c>
      <c r="D9" s="36" t="s">
        <v>70</v>
      </c>
      <c r="E9" s="37"/>
      <c r="F9" s="37"/>
      <c r="G9" s="37"/>
      <c r="H9" s="37"/>
      <c r="I9" s="37"/>
      <c r="J9" s="37"/>
      <c r="L9" s="29" t="s">
        <v>71</v>
      </c>
      <c r="M9" s="39">
        <f>G21</f>
        <v>0</v>
      </c>
      <c r="N9" s="31" t="s">
        <v>72</v>
      </c>
      <c r="O9" s="4"/>
      <c r="P9" s="4"/>
      <c r="Q9" s="4"/>
      <c r="R9" s="4"/>
      <c r="S9" s="4"/>
      <c r="XFD9" t="s">
        <v>73</v>
      </c>
    </row>
    <row r="10" spans="2:19 16382:16384" x14ac:dyDescent="0.3">
      <c r="B10" s="3"/>
      <c r="C10" s="33">
        <v>3</v>
      </c>
      <c r="D10" s="36" t="s">
        <v>70</v>
      </c>
      <c r="E10" s="37"/>
      <c r="F10" s="37"/>
      <c r="G10" s="37"/>
      <c r="H10" s="37"/>
      <c r="I10" s="37"/>
      <c r="J10" s="37"/>
      <c r="L10" s="29" t="s">
        <v>74</v>
      </c>
      <c r="M10" s="40" t="str">
        <f>IFERROR('RTR '!J5,"-")</f>
        <v>-</v>
      </c>
      <c r="N10" s="31" t="s">
        <v>75</v>
      </c>
      <c r="O10" s="4" t="s">
        <v>76</v>
      </c>
      <c r="P10" s="4"/>
      <c r="Q10" s="4"/>
      <c r="R10" s="4"/>
      <c r="S10" s="4"/>
      <c r="XFD10" t="s">
        <v>77</v>
      </c>
    </row>
    <row r="11" spans="2:19 16382:16384" x14ac:dyDescent="0.3">
      <c r="B11" s="3"/>
      <c r="C11" s="33">
        <v>4</v>
      </c>
      <c r="D11" s="36"/>
      <c r="E11" s="37"/>
      <c r="F11" s="37"/>
      <c r="G11" s="37"/>
      <c r="H11" s="37"/>
      <c r="I11" s="37"/>
      <c r="J11" s="37"/>
      <c r="L11" s="29" t="s">
        <v>78</v>
      </c>
      <c r="M11" s="38" t="str">
        <f>IFERROR(G23,"-")</f>
        <v>-</v>
      </c>
      <c r="N11" s="31" t="s">
        <v>79</v>
      </c>
      <c r="O11" s="4" t="s">
        <v>80</v>
      </c>
      <c r="P11" s="4"/>
      <c r="Q11" s="4"/>
      <c r="R11" s="4"/>
      <c r="S11" s="4"/>
      <c r="XFD11" t="s">
        <v>81</v>
      </c>
    </row>
    <row r="12" spans="2:19 16382:16384" x14ac:dyDescent="0.3">
      <c r="B12" s="3"/>
      <c r="C12" s="33">
        <v>5</v>
      </c>
      <c r="D12" s="36"/>
      <c r="E12" s="37"/>
      <c r="F12" s="37"/>
      <c r="G12" s="37"/>
      <c r="H12" s="37"/>
      <c r="I12" s="37"/>
      <c r="J12" s="37"/>
      <c r="L12" s="29" t="s">
        <v>82</v>
      </c>
      <c r="M12" s="38" t="str">
        <f>IFERROR(Banking!H12,"-")</f>
        <v>-</v>
      </c>
      <c r="N12" s="31" t="s">
        <v>79</v>
      </c>
      <c r="O12" s="4" t="s">
        <v>83</v>
      </c>
      <c r="P12" s="4"/>
      <c r="Q12" s="4"/>
      <c r="R12" s="4"/>
      <c r="S12" s="4"/>
      <c r="XFD12" t="s">
        <v>84</v>
      </c>
    </row>
    <row r="13" spans="2:19 16382:16384" x14ac:dyDescent="0.3">
      <c r="B13" s="3"/>
      <c r="C13" s="33">
        <v>6</v>
      </c>
      <c r="D13" s="36"/>
      <c r="E13" s="37"/>
      <c r="F13" s="37"/>
      <c r="G13" s="37"/>
      <c r="H13" s="37"/>
      <c r="I13" s="37"/>
      <c r="J13" s="37"/>
      <c r="L13" s="29" t="s">
        <v>85</v>
      </c>
      <c r="M13" s="41" t="str">
        <f>IFERROR('Collateral Details'!H7,"-")</f>
        <v>-</v>
      </c>
      <c r="N13" s="31" t="s">
        <v>67</v>
      </c>
      <c r="O13" s="4" t="s">
        <v>86</v>
      </c>
      <c r="P13" s="4"/>
      <c r="Q13" s="4"/>
      <c r="R13" s="4"/>
      <c r="S13" s="4"/>
      <c r="XFD13" t="s">
        <v>87</v>
      </c>
    </row>
    <row r="14" spans="2:19 16382:16384" x14ac:dyDescent="0.3">
      <c r="B14" s="3"/>
      <c r="C14" s="33">
        <v>7</v>
      </c>
      <c r="D14" s="36"/>
      <c r="E14" s="37"/>
      <c r="F14" s="37"/>
      <c r="G14" s="37"/>
      <c r="H14" s="37"/>
      <c r="I14" s="37"/>
      <c r="J14" s="37"/>
      <c r="L14" s="29" t="s">
        <v>88</v>
      </c>
      <c r="M14" s="39">
        <f>IFERROR('Deviation list'!I46,0)</f>
        <v>2</v>
      </c>
      <c r="N14" s="31" t="s">
        <v>89</v>
      </c>
      <c r="O14" s="4" t="s">
        <v>90</v>
      </c>
      <c r="P14" s="4"/>
      <c r="Q14" s="4"/>
      <c r="R14" s="4"/>
      <c r="S14" s="4"/>
    </row>
    <row r="15" spans="2:19 16382:16384" x14ac:dyDescent="0.3">
      <c r="B15" s="3"/>
      <c r="C15" s="33">
        <v>8</v>
      </c>
      <c r="D15" s="36"/>
      <c r="E15" s="37"/>
      <c r="F15" s="37"/>
      <c r="G15" s="37"/>
      <c r="H15" s="37"/>
      <c r="I15" s="37"/>
      <c r="J15" s="37"/>
      <c r="L15" s="29" t="s">
        <v>91</v>
      </c>
      <c r="M15" s="42" t="str">
        <f>IF(COUNT(J8:J17)=0,"-",_xlfn.MINIFS(J8:J17,J8:J17,"&gt;0"))</f>
        <v>-</v>
      </c>
      <c r="N15" s="31" t="s">
        <v>92</v>
      </c>
      <c r="O15" s="4"/>
      <c r="P15" s="4"/>
      <c r="Q15" s="4"/>
      <c r="R15" s="4"/>
      <c r="S15" s="4"/>
    </row>
    <row r="16" spans="2:19 16382:16384" x14ac:dyDescent="0.3">
      <c r="B16" s="3"/>
      <c r="C16" s="33">
        <v>9</v>
      </c>
      <c r="D16" s="36"/>
      <c r="E16" s="37"/>
      <c r="F16" s="37"/>
      <c r="G16" s="37"/>
      <c r="H16" s="37"/>
      <c r="I16" s="37"/>
      <c r="J16" s="37"/>
      <c r="L16" s="29" t="s">
        <v>93</v>
      </c>
      <c r="M16" s="42" t="str">
        <f>IF(COUNT(J8:J17)=0,"-",_xlfn.MAXIFS(J8:J17,J8:J17,"&gt;0"))</f>
        <v>-</v>
      </c>
      <c r="N16" s="31" t="s">
        <v>92</v>
      </c>
      <c r="O16" s="4"/>
      <c r="P16" s="4"/>
      <c r="Q16" s="4"/>
      <c r="R16" s="4"/>
      <c r="S16" s="4"/>
    </row>
    <row r="17" spans="2:19 16384:16384" x14ac:dyDescent="0.3">
      <c r="B17" s="3"/>
      <c r="C17" s="33">
        <v>10</v>
      </c>
      <c r="D17" s="36"/>
      <c r="E17" s="37"/>
      <c r="F17" s="37"/>
      <c r="G17" s="37"/>
      <c r="H17" s="37"/>
      <c r="I17" s="37"/>
      <c r="J17" s="37"/>
      <c r="L17" s="7" t="s">
        <v>94</v>
      </c>
      <c r="M17" s="7"/>
      <c r="N17" s="7"/>
      <c r="O17" s="7"/>
      <c r="P17" s="7"/>
      <c r="Q17" s="7"/>
      <c r="R17" s="7"/>
      <c r="S17" s="7"/>
      <c r="XFD17" t="s">
        <v>95</v>
      </c>
    </row>
    <row r="18" spans="2:19 16384:16384" ht="23.85" customHeight="1" x14ac:dyDescent="0.3">
      <c r="B18" s="32" t="s">
        <v>3</v>
      </c>
      <c r="C18" s="2" t="s">
        <v>11</v>
      </c>
      <c r="D18" s="2"/>
      <c r="E18" s="2"/>
      <c r="F18" s="2"/>
      <c r="G18" s="2"/>
      <c r="H18" s="2"/>
      <c r="I18" s="2"/>
      <c r="J18" s="2"/>
      <c r="L18" s="28" t="s">
        <v>96</v>
      </c>
      <c r="M18" s="28" t="s">
        <v>97</v>
      </c>
      <c r="N18" s="28" t="s">
        <v>98</v>
      </c>
      <c r="O18" s="28" t="s">
        <v>99</v>
      </c>
      <c r="P18" s="5" t="s">
        <v>100</v>
      </c>
      <c r="Q18" s="5"/>
      <c r="R18" s="5"/>
      <c r="S18" s="5"/>
    </row>
    <row r="19" spans="2:19 16384:16384" ht="15" customHeight="1" x14ac:dyDescent="0.3">
      <c r="B19" s="26" t="s">
        <v>101</v>
      </c>
      <c r="C19" s="1" t="s">
        <v>35</v>
      </c>
      <c r="D19" s="1"/>
      <c r="E19" s="1"/>
      <c r="F19" s="26" t="s">
        <v>4</v>
      </c>
      <c r="G19" s="340" t="s">
        <v>12</v>
      </c>
      <c r="H19" s="340"/>
      <c r="I19" s="340"/>
      <c r="J19" s="340"/>
      <c r="L19" s="29" t="s">
        <v>35</v>
      </c>
      <c r="M19" s="30" t="str">
        <f>IFERROR('Eligibility-Salaried'!E20,"-")</f>
        <v>-</v>
      </c>
      <c r="N19" s="43" t="str">
        <f>IFERROR('Eligibility-Salaried'!E22,"-")</f>
        <v>-</v>
      </c>
      <c r="O19" s="44" t="str">
        <f t="shared" ref="O19:O25" si="0">IF(ISNUMBER(M19),M19-$M$6,"-")</f>
        <v>-</v>
      </c>
      <c r="P19" s="341" t="str">
        <f t="shared" ref="P19:P25" si="1">IF(ISNUMBER(O19),IF(O19&gt;=0,"Sufficient","Shortfall"),"Data pending")</f>
        <v>Data pending</v>
      </c>
      <c r="Q19" s="341"/>
      <c r="R19" s="341"/>
      <c r="S19" s="341"/>
      <c r="XFD19" t="s">
        <v>102</v>
      </c>
    </row>
    <row r="20" spans="2:19 16384:16384" ht="28.5" customHeight="1" x14ac:dyDescent="0.3">
      <c r="B20" s="27" t="s">
        <v>103</v>
      </c>
      <c r="C20" s="342">
        <f>'RTR '!J2/100000</f>
        <v>0</v>
      </c>
      <c r="D20" s="342"/>
      <c r="E20" s="45" t="s">
        <v>51</v>
      </c>
      <c r="F20" s="46" t="s">
        <v>104</v>
      </c>
      <c r="G20" s="343">
        <v>0</v>
      </c>
      <c r="H20" s="343"/>
      <c r="I20" s="343"/>
      <c r="J20" s="47" t="str">
        <f>E20</f>
        <v>Lakhs</v>
      </c>
      <c r="L20" s="29" t="s">
        <v>105</v>
      </c>
      <c r="M20" s="30" t="str">
        <f>IFERROR('Eligibility- Normal Income'!E20,"-")</f>
        <v>-</v>
      </c>
      <c r="N20" s="43" t="str">
        <f>IFERROR('Eligibility- Normal Income'!E22,"-")</f>
        <v>-</v>
      </c>
      <c r="O20" s="44" t="str">
        <f t="shared" si="0"/>
        <v>-</v>
      </c>
      <c r="P20" s="341" t="str">
        <f t="shared" si="1"/>
        <v>Data pending</v>
      </c>
      <c r="Q20" s="341"/>
      <c r="R20" s="341"/>
      <c r="S20" s="341"/>
      <c r="XFD20" t="s">
        <v>106</v>
      </c>
    </row>
    <row r="21" spans="2:19 16384:16384" ht="14.25" customHeight="1" x14ac:dyDescent="0.3">
      <c r="B21" s="27" t="s">
        <v>61</v>
      </c>
      <c r="C21" s="342">
        <f>C20+G20</f>
        <v>0</v>
      </c>
      <c r="D21" s="342"/>
      <c r="E21" s="45" t="str">
        <f>E20</f>
        <v>Lakhs</v>
      </c>
      <c r="F21" s="48" t="s">
        <v>107</v>
      </c>
      <c r="G21" s="344">
        <f>'RTR '!J3</f>
        <v>0</v>
      </c>
      <c r="H21" s="344"/>
      <c r="I21" s="344"/>
      <c r="J21" s="344"/>
      <c r="L21" s="29" t="s">
        <v>108</v>
      </c>
      <c r="M21" s="30" t="str">
        <f>IFERROR('Eligibility -Assessment'!C8,"-")</f>
        <v>-</v>
      </c>
      <c r="N21" s="43" t="str">
        <f>IFERROR('Eligibility -Assessment'!C10,"-")</f>
        <v>-</v>
      </c>
      <c r="O21" s="44" t="str">
        <f t="shared" si="0"/>
        <v>-</v>
      </c>
      <c r="P21" s="341" t="str">
        <f t="shared" si="1"/>
        <v>Data pending</v>
      </c>
      <c r="Q21" s="341"/>
      <c r="R21" s="341"/>
      <c r="S21" s="341"/>
    </row>
    <row r="22" spans="2:19 16384:16384" x14ac:dyDescent="0.3">
      <c r="B22" s="26" t="s">
        <v>109</v>
      </c>
      <c r="C22" s="345">
        <f>'RTR '!J4</f>
        <v>0</v>
      </c>
      <c r="D22" s="345"/>
      <c r="E22" s="345"/>
      <c r="F22" s="26" t="s">
        <v>110</v>
      </c>
      <c r="G22" s="346"/>
      <c r="H22" s="346"/>
      <c r="I22" s="346"/>
      <c r="J22" s="346"/>
      <c r="L22" s="29" t="s">
        <v>111</v>
      </c>
      <c r="M22" s="30" t="str">
        <f>IFERROR('Eligibility -Assessment'!C25,"-")</f>
        <v>-</v>
      </c>
      <c r="N22" s="43" t="str">
        <f>IFERROR('Eligibility -Assessment'!C27,"-")</f>
        <v>-</v>
      </c>
      <c r="O22" s="44" t="str">
        <f t="shared" si="0"/>
        <v>-</v>
      </c>
      <c r="P22" s="341" t="str">
        <f t="shared" si="1"/>
        <v>Data pending</v>
      </c>
      <c r="Q22" s="341"/>
      <c r="R22" s="341"/>
      <c r="S22" s="341"/>
    </row>
    <row r="23" spans="2:19 16384:16384" x14ac:dyDescent="0.3">
      <c r="B23" s="49" t="s">
        <v>112</v>
      </c>
      <c r="C23" s="347"/>
      <c r="D23" s="347"/>
      <c r="E23" s="347"/>
      <c r="F23" s="49" t="s">
        <v>113</v>
      </c>
      <c r="G23" s="348" t="e">
        <f>Banking!M12</f>
        <v>#DIV/0!</v>
      </c>
      <c r="H23" s="348"/>
      <c r="I23" s="348"/>
      <c r="J23" s="348"/>
      <c r="L23" s="29" t="s">
        <v>114</v>
      </c>
      <c r="M23" s="30" t="str">
        <f>IFERROR('Eligibility -Assessment'!G23,"-")</f>
        <v>-</v>
      </c>
      <c r="N23" s="43" t="str">
        <f>IFERROR('Eligibility -Assessment'!G25,"-")</f>
        <v>-</v>
      </c>
      <c r="O23" s="44" t="str">
        <f t="shared" si="0"/>
        <v>-</v>
      </c>
      <c r="P23" s="341" t="str">
        <f t="shared" si="1"/>
        <v>Data pending</v>
      </c>
      <c r="Q23" s="341"/>
      <c r="R23" s="341"/>
      <c r="S23" s="341"/>
    </row>
    <row r="24" spans="2:19 16384:16384" x14ac:dyDescent="0.3">
      <c r="B24" s="26" t="s">
        <v>115</v>
      </c>
      <c r="C24" s="343">
        <v>0</v>
      </c>
      <c r="D24" s="343"/>
      <c r="E24" s="47" t="s">
        <v>51</v>
      </c>
      <c r="F24" s="49" t="s">
        <v>116</v>
      </c>
      <c r="G24" s="349">
        <f>Banking!E12</f>
        <v>0</v>
      </c>
      <c r="H24" s="349"/>
      <c r="I24" s="349"/>
      <c r="J24" s="349"/>
      <c r="L24" s="29" t="s">
        <v>117</v>
      </c>
      <c r="M24" s="30" t="str">
        <f>IFERROR('Eiligibility-RTR Sheet'!F21/100000,"-")</f>
        <v>-</v>
      </c>
      <c r="N24" s="50" t="s">
        <v>13</v>
      </c>
      <c r="O24" s="44" t="str">
        <f t="shared" si="0"/>
        <v>-</v>
      </c>
      <c r="P24" s="341" t="str">
        <f t="shared" si="1"/>
        <v>Data pending</v>
      </c>
      <c r="Q24" s="341"/>
      <c r="R24" s="341"/>
      <c r="S24" s="341"/>
    </row>
    <row r="25" spans="2:19 16384:16384" ht="14.25" customHeight="1" x14ac:dyDescent="0.3">
      <c r="B25" s="3" t="s">
        <v>118</v>
      </c>
      <c r="C25" s="350"/>
      <c r="D25" s="350"/>
      <c r="E25" s="350"/>
      <c r="F25" s="350"/>
      <c r="G25" s="350"/>
      <c r="H25" s="350"/>
      <c r="I25" s="350"/>
      <c r="J25" s="350"/>
      <c r="L25" s="29" t="s">
        <v>40</v>
      </c>
      <c r="M25" s="30" t="str">
        <f>IFERROR('Eligibility - Banking Program'!M25,"-")</f>
        <v>-</v>
      </c>
      <c r="N25" s="43" t="str">
        <f>IFERROR('Eligibility - Banking Program'!M24,"-")</f>
        <v>-</v>
      </c>
      <c r="O25" s="44" t="str">
        <f t="shared" si="0"/>
        <v>-</v>
      </c>
      <c r="P25" s="341" t="str">
        <f t="shared" si="1"/>
        <v>Data pending</v>
      </c>
      <c r="Q25" s="341"/>
      <c r="R25" s="341"/>
      <c r="S25" s="341"/>
    </row>
    <row r="26" spans="2:19 16384:16384" ht="14.25" customHeight="1" x14ac:dyDescent="0.3">
      <c r="B26" s="3"/>
      <c r="C26" s="350"/>
      <c r="D26" s="350"/>
      <c r="E26" s="350"/>
      <c r="F26" s="350"/>
      <c r="G26" s="350"/>
      <c r="H26" s="350"/>
      <c r="I26" s="350"/>
      <c r="J26" s="350"/>
    </row>
    <row r="27" spans="2:19 16384:16384" ht="27.75" customHeight="1" x14ac:dyDescent="0.3">
      <c r="B27" s="9" t="s">
        <v>119</v>
      </c>
      <c r="C27" s="350"/>
      <c r="D27" s="350"/>
      <c r="E27" s="350"/>
      <c r="F27" s="350"/>
      <c r="G27" s="350"/>
      <c r="H27" s="350"/>
      <c r="I27" s="350"/>
      <c r="J27" s="350"/>
      <c r="L27" s="351" t="s">
        <v>120</v>
      </c>
      <c r="M27" s="351"/>
      <c r="N27" s="351"/>
      <c r="O27" s="351"/>
      <c r="P27" s="351"/>
      <c r="Q27" s="351"/>
      <c r="R27" s="351"/>
      <c r="S27" s="351"/>
    </row>
    <row r="28" spans="2:19 16384:16384" x14ac:dyDescent="0.3">
      <c r="B28" s="9"/>
      <c r="C28" s="350"/>
      <c r="D28" s="350"/>
      <c r="E28" s="350"/>
      <c r="F28" s="350"/>
      <c r="G28" s="350"/>
      <c r="H28" s="350"/>
      <c r="I28" s="350"/>
      <c r="J28" s="350"/>
    </row>
    <row r="29" spans="2:19 16384:16384" ht="15" customHeight="1" x14ac:dyDescent="0.3">
      <c r="B29" s="9" t="s">
        <v>121</v>
      </c>
      <c r="C29" s="33" t="s">
        <v>2</v>
      </c>
      <c r="D29" s="33" t="s">
        <v>122</v>
      </c>
      <c r="E29" s="33" t="s">
        <v>123</v>
      </c>
      <c r="F29" s="33" t="s">
        <v>124</v>
      </c>
      <c r="G29" s="33" t="s">
        <v>125</v>
      </c>
      <c r="H29" s="51" t="s">
        <v>126</v>
      </c>
      <c r="I29" s="352" t="s">
        <v>127</v>
      </c>
      <c r="J29" s="352"/>
    </row>
    <row r="30" spans="2:19 16384:16384" ht="15" customHeight="1" x14ac:dyDescent="0.3">
      <c r="B30" s="9"/>
      <c r="C30" s="33">
        <v>1</v>
      </c>
      <c r="D30" s="33"/>
      <c r="E30" s="33"/>
      <c r="F30" s="33"/>
      <c r="G30" s="33"/>
      <c r="H30" s="51"/>
      <c r="I30" s="352"/>
      <c r="J30" s="352"/>
    </row>
    <row r="31" spans="2:19 16384:16384" ht="15" customHeight="1" x14ac:dyDescent="0.3">
      <c r="B31" s="9"/>
      <c r="C31" s="33">
        <v>2</v>
      </c>
      <c r="D31" s="33"/>
      <c r="E31" s="33"/>
      <c r="F31" s="33"/>
      <c r="G31" s="33"/>
      <c r="H31" s="51"/>
      <c r="I31" s="352"/>
      <c r="J31" s="352"/>
    </row>
    <row r="32" spans="2:19 16384:16384" ht="15" customHeight="1" x14ac:dyDescent="0.3">
      <c r="B32" s="9"/>
      <c r="C32" s="33">
        <v>3</v>
      </c>
      <c r="D32" s="33"/>
      <c r="E32" s="33"/>
      <c r="F32" s="33"/>
      <c r="G32" s="33"/>
      <c r="H32" s="51"/>
      <c r="I32" s="352"/>
      <c r="J32" s="352"/>
    </row>
    <row r="33" spans="2:10" ht="15" customHeight="1" x14ac:dyDescent="0.3">
      <c r="B33" s="9"/>
      <c r="C33" s="33">
        <v>4</v>
      </c>
      <c r="D33" s="33"/>
      <c r="E33" s="33"/>
      <c r="F33" s="33"/>
      <c r="G33" s="33"/>
      <c r="H33" s="51"/>
      <c r="I33" s="352"/>
      <c r="J33" s="352"/>
    </row>
    <row r="34" spans="2:10" ht="15" customHeight="1" x14ac:dyDescent="0.3">
      <c r="B34" s="9"/>
      <c r="C34" s="33">
        <v>5</v>
      </c>
      <c r="D34" s="33"/>
      <c r="E34" s="33"/>
      <c r="F34" s="33"/>
      <c r="G34" s="33"/>
      <c r="H34" s="51"/>
      <c r="I34" s="51"/>
      <c r="J34" s="52"/>
    </row>
    <row r="35" spans="2:10" ht="15" hidden="1" customHeight="1" x14ac:dyDescent="0.3">
      <c r="B35" s="9"/>
      <c r="C35" s="33">
        <f>'Collateral Details'!A3</f>
        <v>2</v>
      </c>
      <c r="D35" s="33" t="str">
        <f>IF('Collateral Details'!B3="","",'Collateral Details'!B3)</f>
        <v>SOIP</v>
      </c>
      <c r="E35" s="33" t="str">
        <f>IF('Collateral Details'!C3="","",'Collateral Details'!C3)</f>
        <v/>
      </c>
      <c r="F35" s="33" t="str">
        <f>IF('Collateral Details'!D3="","",'Collateral Details'!D3)</f>
        <v/>
      </c>
      <c r="G35" s="53">
        <f>IF('Collateral Details'!H3="","",'Collateral Details'!H3)</f>
        <v>0.5</v>
      </c>
      <c r="H35" s="51"/>
      <c r="I35" s="6"/>
      <c r="J35" s="6"/>
    </row>
    <row r="36" spans="2:10" ht="15" hidden="1" customHeight="1" x14ac:dyDescent="0.3">
      <c r="B36" s="9"/>
      <c r="C36" s="33">
        <f>'Collateral Details'!A4</f>
        <v>3</v>
      </c>
      <c r="D36" s="33" t="str">
        <f>IF('Collateral Details'!B4="","",'Collateral Details'!B4)</f>
        <v>Plot</v>
      </c>
      <c r="E36" s="33" t="str">
        <f>IF('Collateral Details'!C4="","",'Collateral Details'!C4)</f>
        <v/>
      </c>
      <c r="F36" s="33" t="str">
        <f>IF('Collateral Details'!D4="","",'Collateral Details'!D4)</f>
        <v/>
      </c>
      <c r="G36" s="53">
        <f>IF('Collateral Details'!H4="","",'Collateral Details'!H4)</f>
        <v>0.4</v>
      </c>
      <c r="H36" s="51"/>
      <c r="I36" s="6"/>
      <c r="J36" s="6"/>
    </row>
    <row r="37" spans="2:10" ht="15" hidden="1" customHeight="1" x14ac:dyDescent="0.3">
      <c r="B37" s="9"/>
      <c r="C37" s="33">
        <f>'Collateral Details'!A5</f>
        <v>4</v>
      </c>
      <c r="D37" s="33" t="str">
        <f>IF('Collateral Details'!B5="","",'Collateral Details'!B5)</f>
        <v>Vacant Residential</v>
      </c>
      <c r="E37" s="33" t="str">
        <f>IF('Collateral Details'!C5="","",'Collateral Details'!C5)</f>
        <v/>
      </c>
      <c r="F37" s="33" t="str">
        <f>IF('Collateral Details'!D5="","",'Collateral Details'!D5)</f>
        <v/>
      </c>
      <c r="G37" s="53">
        <f>IF('Collateral Details'!H5="","",'Collateral Details'!H5)</f>
        <v>0.65</v>
      </c>
      <c r="H37" s="51"/>
      <c r="I37" s="6"/>
      <c r="J37" s="6"/>
    </row>
    <row r="38" spans="2:10" ht="15" hidden="1" customHeight="1" x14ac:dyDescent="0.3">
      <c r="B38" s="9"/>
      <c r="C38" s="33">
        <f>'Collateral Details'!A6</f>
        <v>5</v>
      </c>
      <c r="D38" s="33" t="str">
        <f>IF('Collateral Details'!B6="","",'Collateral Details'!B6)</f>
        <v>Rented Residential</v>
      </c>
      <c r="E38" s="33" t="str">
        <f>IF('Collateral Details'!C6="","",'Collateral Details'!C6)</f>
        <v/>
      </c>
      <c r="F38" s="33" t="str">
        <f>IF('Collateral Details'!D6="","",'Collateral Details'!D6)</f>
        <v/>
      </c>
      <c r="G38" s="53">
        <f>IF('Collateral Details'!H6="","",'Collateral Details'!H6)</f>
        <v>0.65</v>
      </c>
      <c r="H38" s="51"/>
      <c r="I38" s="6"/>
      <c r="J38" s="6"/>
    </row>
    <row r="39" spans="2:10" ht="14.25" customHeight="1" x14ac:dyDescent="0.3">
      <c r="B39" s="9" t="s">
        <v>128</v>
      </c>
      <c r="C39" s="350" t="s">
        <v>129</v>
      </c>
      <c r="D39" s="350"/>
      <c r="E39" s="350"/>
      <c r="F39" s="350"/>
      <c r="G39" s="350"/>
      <c r="H39" s="350"/>
      <c r="I39" s="350"/>
      <c r="J39" s="350"/>
    </row>
    <row r="40" spans="2:10" ht="28.5" customHeight="1" x14ac:dyDescent="0.3">
      <c r="B40" s="9"/>
      <c r="C40" s="350" t="s">
        <v>130</v>
      </c>
      <c r="D40" s="350"/>
      <c r="E40" s="350"/>
      <c r="F40" s="350"/>
      <c r="G40" s="350"/>
      <c r="H40" s="350"/>
      <c r="I40" s="350"/>
      <c r="J40" s="350"/>
    </row>
    <row r="41" spans="2:10" ht="63" customHeight="1" x14ac:dyDescent="0.3">
      <c r="B41" s="26" t="s">
        <v>131</v>
      </c>
      <c r="C41" s="353"/>
      <c r="D41" s="353"/>
      <c r="E41" s="353"/>
      <c r="F41" s="353"/>
      <c r="G41" s="353"/>
      <c r="H41" s="353"/>
      <c r="I41" s="353"/>
      <c r="J41" s="353"/>
    </row>
    <row r="42" spans="2:10" ht="26.25" customHeight="1" x14ac:dyDescent="0.3">
      <c r="B42" s="26" t="s">
        <v>132</v>
      </c>
      <c r="C42" s="353"/>
      <c r="D42" s="353"/>
      <c r="E42" s="353"/>
      <c r="F42" s="353"/>
      <c r="G42" s="353"/>
      <c r="H42" s="353"/>
      <c r="I42" s="353"/>
      <c r="J42" s="353"/>
    </row>
    <row r="43" spans="2:10" ht="91.5" customHeight="1" x14ac:dyDescent="0.3">
      <c r="B43" s="26" t="s">
        <v>133</v>
      </c>
      <c r="C43" s="353"/>
      <c r="D43" s="353"/>
      <c r="E43" s="353"/>
      <c r="F43" s="353"/>
      <c r="G43" s="353"/>
      <c r="H43" s="353"/>
      <c r="I43" s="353"/>
      <c r="J43" s="353"/>
    </row>
    <row r="44" spans="2:10" ht="36.75" customHeight="1" x14ac:dyDescent="0.3">
      <c r="B44" s="26" t="s">
        <v>134</v>
      </c>
      <c r="C44" s="353"/>
      <c r="D44" s="353"/>
      <c r="E44" s="353"/>
      <c r="F44" s="353"/>
      <c r="G44" s="353"/>
      <c r="H44" s="353"/>
      <c r="I44" s="353"/>
      <c r="J44" s="353"/>
    </row>
    <row r="45" spans="2:10" ht="240.75" customHeight="1" x14ac:dyDescent="0.3">
      <c r="B45" s="26" t="s">
        <v>135</v>
      </c>
      <c r="C45" s="353"/>
      <c r="D45" s="353"/>
      <c r="E45" s="353"/>
      <c r="F45" s="353"/>
      <c r="G45" s="353"/>
      <c r="H45" s="353"/>
      <c r="I45" s="353"/>
      <c r="J45" s="353"/>
    </row>
    <row r="46" spans="2:10" ht="52.5" customHeight="1" x14ac:dyDescent="0.3">
      <c r="B46" s="26" t="s">
        <v>136</v>
      </c>
      <c r="C46" s="353"/>
      <c r="D46" s="353"/>
      <c r="E46" s="353"/>
      <c r="F46" s="353"/>
      <c r="G46" s="353"/>
      <c r="H46" s="353"/>
      <c r="I46" s="353"/>
      <c r="J46" s="353"/>
    </row>
    <row r="47" spans="2:10" ht="117.75" customHeight="1" x14ac:dyDescent="0.3">
      <c r="B47" s="26" t="s">
        <v>137</v>
      </c>
      <c r="C47" s="353"/>
      <c r="D47" s="353"/>
      <c r="E47" s="353"/>
      <c r="F47" s="353"/>
      <c r="G47" s="353"/>
      <c r="H47" s="353"/>
      <c r="I47" s="353"/>
      <c r="J47" s="353"/>
    </row>
    <row r="48" spans="2:10" ht="15" customHeight="1" x14ac:dyDescent="0.3">
      <c r="B48" s="354" t="s">
        <v>138</v>
      </c>
      <c r="C48" s="55" t="s">
        <v>139</v>
      </c>
      <c r="D48" s="56" t="s">
        <v>140</v>
      </c>
      <c r="E48" s="57"/>
      <c r="F48" s="57" t="s">
        <v>141</v>
      </c>
      <c r="G48" s="57" t="s">
        <v>127</v>
      </c>
      <c r="H48" s="355"/>
      <c r="I48" s="355"/>
      <c r="J48" s="355"/>
    </row>
    <row r="49" spans="2:10" x14ac:dyDescent="0.3">
      <c r="B49" s="354"/>
      <c r="C49" s="58" t="s">
        <v>142</v>
      </c>
      <c r="D49" s="56" t="s">
        <v>140</v>
      </c>
      <c r="E49" s="57"/>
      <c r="F49" s="57" t="s">
        <v>141</v>
      </c>
      <c r="G49" s="57" t="s">
        <v>127</v>
      </c>
      <c r="H49" s="355"/>
      <c r="I49" s="355"/>
      <c r="J49" s="355"/>
    </row>
    <row r="50" spans="2:10" ht="51.75" customHeight="1" x14ac:dyDescent="0.3">
      <c r="B50" s="26" t="s">
        <v>143</v>
      </c>
      <c r="C50" s="353"/>
      <c r="D50" s="353"/>
      <c r="E50" s="353"/>
      <c r="F50" s="353"/>
      <c r="G50" s="353"/>
      <c r="H50" s="353"/>
      <c r="I50" s="353"/>
      <c r="J50" s="353"/>
    </row>
    <row r="51" spans="2:10" ht="41.25" customHeight="1" x14ac:dyDescent="0.3">
      <c r="B51" s="26" t="s">
        <v>144</v>
      </c>
      <c r="C51" s="353"/>
      <c r="D51" s="353"/>
      <c r="E51" s="353"/>
      <c r="F51" s="353"/>
      <c r="G51" s="353"/>
      <c r="H51" s="353"/>
      <c r="I51" s="353"/>
      <c r="J51" s="353"/>
    </row>
    <row r="52" spans="2:10" ht="15" customHeight="1" x14ac:dyDescent="0.3">
      <c r="B52" s="3" t="s">
        <v>145</v>
      </c>
      <c r="C52" s="33">
        <v>1</v>
      </c>
      <c r="D52" s="350"/>
      <c r="E52" s="350"/>
      <c r="F52" s="350"/>
      <c r="G52" s="350"/>
      <c r="H52" s="350"/>
      <c r="I52" s="350"/>
      <c r="J52" s="350"/>
    </row>
    <row r="53" spans="2:10" x14ac:dyDescent="0.3">
      <c r="B53" s="3"/>
      <c r="C53" s="33">
        <v>2</v>
      </c>
      <c r="D53" s="350"/>
      <c r="E53" s="350"/>
      <c r="F53" s="350"/>
      <c r="G53" s="350"/>
      <c r="H53" s="350"/>
      <c r="I53" s="350"/>
      <c r="J53" s="350"/>
    </row>
    <row r="54" spans="2:10" x14ac:dyDescent="0.3">
      <c r="B54" s="3"/>
      <c r="C54" s="33">
        <v>3</v>
      </c>
      <c r="D54" s="350"/>
      <c r="E54" s="350"/>
      <c r="F54" s="350"/>
      <c r="G54" s="350"/>
      <c r="H54" s="350"/>
      <c r="I54" s="350"/>
      <c r="J54" s="350"/>
    </row>
    <row r="55" spans="2:10" x14ac:dyDescent="0.3">
      <c r="B55" s="3"/>
      <c r="C55" s="33">
        <v>4</v>
      </c>
      <c r="D55" s="350"/>
      <c r="E55" s="350"/>
      <c r="F55" s="350"/>
      <c r="G55" s="350"/>
      <c r="H55" s="350"/>
      <c r="I55" s="350"/>
      <c r="J55" s="350"/>
    </row>
    <row r="56" spans="2:10" x14ac:dyDescent="0.3">
      <c r="B56" s="3"/>
      <c r="C56" s="33">
        <v>5</v>
      </c>
      <c r="D56" s="350"/>
      <c r="E56" s="350"/>
      <c r="F56" s="350"/>
      <c r="G56" s="350"/>
      <c r="H56" s="350"/>
      <c r="I56" s="350"/>
      <c r="J56" s="350"/>
    </row>
    <row r="57" spans="2:10" x14ac:dyDescent="0.3">
      <c r="B57" s="3"/>
      <c r="C57" s="33">
        <v>6</v>
      </c>
      <c r="D57" s="350"/>
      <c r="E57" s="350"/>
      <c r="F57" s="350"/>
      <c r="G57" s="350"/>
      <c r="H57" s="350"/>
      <c r="I57" s="350"/>
      <c r="J57" s="350"/>
    </row>
    <row r="58" spans="2:10" x14ac:dyDescent="0.3">
      <c r="B58" s="3"/>
      <c r="C58" s="33">
        <v>7</v>
      </c>
      <c r="D58" s="350"/>
      <c r="E58" s="350"/>
      <c r="F58" s="350"/>
      <c r="G58" s="350"/>
      <c r="H58" s="350"/>
      <c r="I58" s="350"/>
      <c r="J58" s="350"/>
    </row>
    <row r="59" spans="2:10" x14ac:dyDescent="0.3">
      <c r="B59" s="3"/>
      <c r="C59" s="33">
        <v>8</v>
      </c>
      <c r="D59" s="350"/>
      <c r="E59" s="350"/>
      <c r="F59" s="350"/>
      <c r="G59" s="350"/>
      <c r="H59" s="350"/>
      <c r="I59" s="350"/>
      <c r="J59" s="350"/>
    </row>
    <row r="60" spans="2:10" x14ac:dyDescent="0.3">
      <c r="B60" s="3"/>
      <c r="C60" s="33">
        <v>9</v>
      </c>
      <c r="D60" s="350"/>
      <c r="E60" s="350"/>
      <c r="F60" s="350"/>
      <c r="G60" s="350"/>
      <c r="H60" s="350"/>
      <c r="I60" s="350"/>
      <c r="J60" s="350"/>
    </row>
    <row r="61" spans="2:10" x14ac:dyDescent="0.3">
      <c r="B61" s="3"/>
      <c r="C61" s="33">
        <v>10</v>
      </c>
      <c r="D61" s="350"/>
      <c r="E61" s="350"/>
      <c r="F61" s="350"/>
      <c r="G61" s="350"/>
      <c r="H61" s="350"/>
      <c r="I61" s="350"/>
      <c r="J61" s="350"/>
    </row>
    <row r="62" spans="2:10" x14ac:dyDescent="0.3">
      <c r="B62" s="3"/>
      <c r="C62" s="33">
        <v>11</v>
      </c>
      <c r="D62" s="350"/>
      <c r="E62" s="350"/>
      <c r="F62" s="350"/>
      <c r="G62" s="350"/>
      <c r="H62" s="350"/>
      <c r="I62" s="350"/>
      <c r="J62" s="350"/>
    </row>
    <row r="63" spans="2:10" ht="15" hidden="1" customHeight="1" x14ac:dyDescent="0.3">
      <c r="B63" s="3"/>
      <c r="C63" s="33">
        <v>12</v>
      </c>
      <c r="D63" s="350"/>
      <c r="E63" s="350"/>
      <c r="F63" s="350"/>
      <c r="G63" s="350"/>
      <c r="H63" s="350"/>
      <c r="I63" s="350"/>
      <c r="J63" s="350"/>
    </row>
    <row r="64" spans="2:10" ht="15" hidden="1" customHeight="1" x14ac:dyDescent="0.3">
      <c r="B64" s="3"/>
      <c r="C64" s="33">
        <v>13</v>
      </c>
      <c r="D64" s="350"/>
      <c r="E64" s="350"/>
      <c r="F64" s="350"/>
      <c r="G64" s="350"/>
      <c r="H64" s="350"/>
      <c r="I64" s="350"/>
      <c r="J64" s="350"/>
    </row>
    <row r="65" spans="2:10" ht="15" hidden="1" customHeight="1" x14ac:dyDescent="0.3">
      <c r="B65" s="3"/>
      <c r="C65" s="33">
        <v>14</v>
      </c>
      <c r="D65" s="350"/>
      <c r="E65" s="350"/>
      <c r="F65" s="350"/>
      <c r="G65" s="350"/>
      <c r="H65" s="350"/>
      <c r="I65" s="350"/>
      <c r="J65" s="350"/>
    </row>
    <row r="66" spans="2:10" ht="15" hidden="1" customHeight="1" x14ac:dyDescent="0.3">
      <c r="B66" s="3"/>
      <c r="C66" s="33">
        <v>15</v>
      </c>
      <c r="D66" s="350"/>
      <c r="E66" s="350"/>
      <c r="F66" s="350"/>
      <c r="G66" s="350"/>
      <c r="H66" s="350"/>
      <c r="I66" s="350"/>
      <c r="J66" s="350"/>
    </row>
    <row r="67" spans="2:10" ht="42" customHeight="1" x14ac:dyDescent="0.3">
      <c r="B67" s="32" t="s">
        <v>146</v>
      </c>
      <c r="C67" s="353"/>
      <c r="D67" s="353"/>
      <c r="E67" s="353"/>
      <c r="F67" s="353"/>
      <c r="G67" s="353"/>
      <c r="H67" s="353"/>
      <c r="I67" s="353"/>
      <c r="J67" s="353"/>
    </row>
    <row r="68" spans="2:10" x14ac:dyDescent="0.3">
      <c r="B68" s="32" t="s">
        <v>147</v>
      </c>
      <c r="C68" s="356"/>
      <c r="D68" s="356"/>
      <c r="E68" s="356"/>
      <c r="F68" s="356"/>
      <c r="G68" s="356"/>
      <c r="H68" s="356"/>
      <c r="I68" s="356"/>
      <c r="J68" s="356"/>
    </row>
    <row r="69" spans="2:10" ht="15" customHeight="1" x14ac:dyDescent="0.3">
      <c r="B69" s="357" t="s">
        <v>148</v>
      </c>
      <c r="C69" s="61" t="s">
        <v>149</v>
      </c>
      <c r="D69" s="62" t="s">
        <v>150</v>
      </c>
      <c r="E69" s="62" t="s">
        <v>151</v>
      </c>
      <c r="F69" s="62" t="s">
        <v>152</v>
      </c>
      <c r="G69" s="358" t="s">
        <v>153</v>
      </c>
      <c r="H69" s="358"/>
      <c r="I69" s="358"/>
      <c r="J69" s="358"/>
    </row>
    <row r="70" spans="2:10" ht="28.5" customHeight="1" x14ac:dyDescent="0.3">
      <c r="B70" s="357"/>
      <c r="C70" s="33">
        <v>1</v>
      </c>
      <c r="D70" s="63" t="str">
        <f>IFERROR(VLOOKUP(C70,'Deviation list'!$J$4:$M$46,2,0),"NA")</f>
        <v>RTR norms</v>
      </c>
      <c r="E70" s="63" t="str">
        <f>IFERROR(VLOOKUP(C70,'Deviation list'!$J$4:$M$46,3,0),"NA")</f>
        <v>RTR Norms not met</v>
      </c>
      <c r="F70" s="63" t="str">
        <f>IFERROR(VLOOKUP(C70,'Deviation list'!$J$4:$M$46,4,0),"NA")</f>
        <v>L3</v>
      </c>
      <c r="G70" s="350"/>
      <c r="H70" s="350"/>
      <c r="I70" s="350"/>
      <c r="J70" s="350"/>
    </row>
    <row r="71" spans="2:10" ht="75.75" customHeight="1" x14ac:dyDescent="0.3">
      <c r="B71" s="357"/>
      <c r="C71" s="33">
        <v>2</v>
      </c>
      <c r="D71" s="63" t="str">
        <f>IFERROR(VLOOKUP(C71,'Deviation list'!$J$4:$M$46,2,0),"NA")</f>
        <v>Banking norms</v>
      </c>
      <c r="E71" s="63" t="str">
        <f>IFERROR(VLOOKUP(C71,'Deviation list'!$J$4:$M$46,3,0),"NA")</f>
        <v>Banking norms not met</v>
      </c>
      <c r="F71" s="63" t="str">
        <f>IFERROR(VLOOKUP(C71,'Deviation list'!$J$4:$M$46,4,0),"NA")</f>
        <v>L3</v>
      </c>
      <c r="G71" s="350"/>
      <c r="H71" s="350"/>
      <c r="I71" s="350"/>
      <c r="J71" s="350"/>
    </row>
    <row r="72" spans="2:10" ht="28.5" customHeight="1" x14ac:dyDescent="0.3">
      <c r="B72" s="357"/>
      <c r="C72" s="33">
        <v>3</v>
      </c>
      <c r="D72" s="63" t="str">
        <f>IFERROR(VLOOKUP(C72,'Deviation list'!$J$4:$M$46,2,0),"NA")</f>
        <v>NA</v>
      </c>
      <c r="E72" s="63" t="str">
        <f>IFERROR(VLOOKUP(C72,'Deviation list'!$J$4:$M$46,3,0),"NA")</f>
        <v>NA</v>
      </c>
      <c r="F72" s="63" t="str">
        <f>IFERROR(VLOOKUP(C72,'Deviation list'!$J$4:$M$46,4,0),"NA")</f>
        <v>NA</v>
      </c>
      <c r="G72" s="350"/>
      <c r="H72" s="350"/>
      <c r="I72" s="350"/>
      <c r="J72" s="350"/>
    </row>
    <row r="73" spans="2:10" ht="66" customHeight="1" x14ac:dyDescent="0.3">
      <c r="B73" s="357"/>
      <c r="C73" s="33">
        <v>4</v>
      </c>
      <c r="D73" s="63" t="str">
        <f>IFERROR(VLOOKUP(C73,'Deviation list'!$J$4:$M$46,2,0),"NA")</f>
        <v>NA</v>
      </c>
      <c r="E73" s="63" t="str">
        <f>IFERROR(VLOOKUP(C73,'Deviation list'!$J$4:$M$46,3,0),"NA")</f>
        <v>NA</v>
      </c>
      <c r="F73" s="63" t="str">
        <f>IFERROR(VLOOKUP(C73,'Deviation list'!$J$4:$M$46,4,0),"NA")</f>
        <v>NA</v>
      </c>
      <c r="G73" s="350"/>
      <c r="H73" s="350"/>
      <c r="I73" s="350"/>
      <c r="J73" s="350"/>
    </row>
    <row r="74" spans="2:10" ht="66" customHeight="1" x14ac:dyDescent="0.3">
      <c r="B74" s="357"/>
      <c r="C74" s="33">
        <v>5</v>
      </c>
      <c r="D74" s="63" t="str">
        <f>IFERROR(VLOOKUP(C74,'Deviation list'!$J$4:$M$46,2,0),"NA")</f>
        <v>NA</v>
      </c>
      <c r="E74" s="63" t="str">
        <f>IFERROR(VLOOKUP(C74,'Deviation list'!$J$4:$M$46,3,0),"NA")</f>
        <v>NA</v>
      </c>
      <c r="F74" s="63" t="str">
        <f>IFERROR(VLOOKUP(C74,'Deviation list'!$J$4:$M$46,4,0),"NA")</f>
        <v>NA</v>
      </c>
      <c r="G74" s="350"/>
      <c r="H74" s="350"/>
      <c r="I74" s="350"/>
      <c r="J74" s="350"/>
    </row>
    <row r="75" spans="2:10" ht="28.5" hidden="1" customHeight="1" x14ac:dyDescent="0.3">
      <c r="B75" s="357"/>
      <c r="C75" s="33">
        <v>6</v>
      </c>
      <c r="D75" s="63" t="str">
        <f>IFERROR(VLOOKUP(C75,'Deviation list'!$J$4:$M$46,2,0),"NA")</f>
        <v>NA</v>
      </c>
      <c r="E75" s="63" t="str">
        <f>IFERROR(VLOOKUP(C75,'Deviation list'!$J$4:$M$46,3,0),"NA")</f>
        <v>NA</v>
      </c>
      <c r="F75" s="63" t="str">
        <f>IFERROR(VLOOKUP(C75,'Deviation list'!$J$4:$M$46,4,0),"NA")</f>
        <v>NA</v>
      </c>
      <c r="G75" s="350"/>
      <c r="H75" s="350"/>
      <c r="I75" s="350"/>
      <c r="J75" s="350"/>
    </row>
    <row r="76" spans="2:10" ht="28.5" hidden="1" customHeight="1" x14ac:dyDescent="0.3">
      <c r="B76" s="357"/>
      <c r="C76" s="33">
        <v>7</v>
      </c>
      <c r="D76" s="63" t="str">
        <f>IFERROR(VLOOKUP(C76,'Deviation list'!$J$4:$M$46,2,0),"NA")</f>
        <v>NA</v>
      </c>
      <c r="E76" s="63" t="str">
        <f>IFERROR(VLOOKUP(C76,'Deviation list'!$J$4:$M$46,3,0),"NA")</f>
        <v>NA</v>
      </c>
      <c r="F76" s="63" t="str">
        <f>IFERROR(VLOOKUP(C76,'Deviation list'!$J$4:$M$46,4,0),"NA")</f>
        <v>NA</v>
      </c>
      <c r="G76" s="350"/>
      <c r="H76" s="350"/>
      <c r="I76" s="350"/>
      <c r="J76" s="350"/>
    </row>
    <row r="77" spans="2:10" ht="28.5" hidden="1" customHeight="1" x14ac:dyDescent="0.3">
      <c r="B77" s="357"/>
      <c r="C77" s="33">
        <v>8</v>
      </c>
      <c r="D77" s="63" t="str">
        <f>IFERROR(VLOOKUP(C77,'Deviation list'!$J$4:$M$46,2,0),"NA")</f>
        <v>NA</v>
      </c>
      <c r="E77" s="63" t="str">
        <f>IFERROR(VLOOKUP(C77,'Deviation list'!$J$4:$M$46,3,0),"NA")</f>
        <v>NA</v>
      </c>
      <c r="F77" s="63" t="str">
        <f>IFERROR(VLOOKUP(C77,'Deviation list'!$J$4:$M$46,4,0),"NA")</f>
        <v>NA</v>
      </c>
      <c r="G77" s="350"/>
      <c r="H77" s="350"/>
      <c r="I77" s="350"/>
      <c r="J77" s="350"/>
    </row>
    <row r="78" spans="2:10" ht="28.5" hidden="1" customHeight="1" x14ac:dyDescent="0.3">
      <c r="B78" s="357"/>
      <c r="C78" s="33">
        <v>9</v>
      </c>
      <c r="D78" s="63" t="str">
        <f>IFERROR(VLOOKUP(C78,'Deviation list'!$J$4:$M$46,2,0),"NA")</f>
        <v>NA</v>
      </c>
      <c r="E78" s="63" t="str">
        <f>IFERROR(VLOOKUP(C78,'Deviation list'!$J$4:$M$46,3,0),"NA")</f>
        <v>NA</v>
      </c>
      <c r="F78" s="63" t="str">
        <f>IFERROR(VLOOKUP(C78,'Deviation list'!$J$4:$M$46,4,0),"NA")</f>
        <v>NA</v>
      </c>
      <c r="G78" s="350"/>
      <c r="H78" s="350"/>
      <c r="I78" s="350"/>
      <c r="J78" s="350"/>
    </row>
    <row r="79" spans="2:10" ht="38.25" hidden="1" customHeight="1" x14ac:dyDescent="0.3">
      <c r="B79" s="357"/>
      <c r="C79" s="33">
        <v>10</v>
      </c>
      <c r="D79" s="54" t="str">
        <f>IFERROR(VLOOKUP(C79,'Deviation list'!$J$4:$M$46,2,0),"NA")</f>
        <v>NA</v>
      </c>
      <c r="E79" s="54" t="str">
        <f>IFERROR(VLOOKUP(C79,'Deviation list'!$J$4:$M$46,3,0),"NA")</f>
        <v>NA</v>
      </c>
      <c r="F79" s="54" t="str">
        <f>IFERROR(VLOOKUP(C79,'Deviation list'!$J$4:$M$46,4,0),"NA")</f>
        <v>NA</v>
      </c>
      <c r="G79" s="359"/>
      <c r="H79" s="359"/>
      <c r="I79" s="359"/>
      <c r="J79" s="359"/>
    </row>
    <row r="80" spans="2:10" ht="15.75" customHeight="1" x14ac:dyDescent="0.3">
      <c r="B80" s="13" t="s">
        <v>154</v>
      </c>
      <c r="C80" s="13"/>
      <c r="D80" s="13"/>
      <c r="E80" s="13"/>
      <c r="F80" s="13"/>
      <c r="G80" s="13"/>
      <c r="H80" s="13"/>
      <c r="I80" s="13"/>
      <c r="J80" s="13"/>
    </row>
  </sheetData>
  <mergeCells count="111">
    <mergeCell ref="B80:J80"/>
    <mergeCell ref="C67:J67"/>
    <mergeCell ref="C68:J68"/>
    <mergeCell ref="B69:B79"/>
    <mergeCell ref="G69:J69"/>
    <mergeCell ref="G70:J70"/>
    <mergeCell ref="G71:J71"/>
    <mergeCell ref="G72:J72"/>
    <mergeCell ref="G73:J73"/>
    <mergeCell ref="G74:J74"/>
    <mergeCell ref="G75:J75"/>
    <mergeCell ref="G76:J76"/>
    <mergeCell ref="G77:J77"/>
    <mergeCell ref="G78:J78"/>
    <mergeCell ref="G79:J79"/>
    <mergeCell ref="C47:J47"/>
    <mergeCell ref="B48:B49"/>
    <mergeCell ref="H48:J48"/>
    <mergeCell ref="H49:J49"/>
    <mergeCell ref="C50:J50"/>
    <mergeCell ref="C51:J51"/>
    <mergeCell ref="B52:B66"/>
    <mergeCell ref="D52:J52"/>
    <mergeCell ref="D53:J53"/>
    <mergeCell ref="D54:J54"/>
    <mergeCell ref="D55:J55"/>
    <mergeCell ref="D56:J56"/>
    <mergeCell ref="D57:J57"/>
    <mergeCell ref="D58:J58"/>
    <mergeCell ref="D59:J59"/>
    <mergeCell ref="D60:J60"/>
    <mergeCell ref="D61:J61"/>
    <mergeCell ref="D62:J62"/>
    <mergeCell ref="D63:J63"/>
    <mergeCell ref="D64:J64"/>
    <mergeCell ref="D65:J65"/>
    <mergeCell ref="D66:J66"/>
    <mergeCell ref="B39:B40"/>
    <mergeCell ref="C39:J39"/>
    <mergeCell ref="C40:J40"/>
    <mergeCell ref="C41:J41"/>
    <mergeCell ref="C42:J42"/>
    <mergeCell ref="C43:J43"/>
    <mergeCell ref="C44:J44"/>
    <mergeCell ref="C45:J45"/>
    <mergeCell ref="C46:J46"/>
    <mergeCell ref="B25:B26"/>
    <mergeCell ref="C25:J25"/>
    <mergeCell ref="P25:S25"/>
    <mergeCell ref="C26:J26"/>
    <mergeCell ref="B27:B28"/>
    <mergeCell ref="C27:J28"/>
    <mergeCell ref="L27:S27"/>
    <mergeCell ref="B29:B38"/>
    <mergeCell ref="I29:J29"/>
    <mergeCell ref="I30:J30"/>
    <mergeCell ref="I31:J31"/>
    <mergeCell ref="I32:J32"/>
    <mergeCell ref="I33:J33"/>
    <mergeCell ref="I35:J35"/>
    <mergeCell ref="I36:J36"/>
    <mergeCell ref="I37:J37"/>
    <mergeCell ref="I38:J38"/>
    <mergeCell ref="C22:E22"/>
    <mergeCell ref="G22:J22"/>
    <mergeCell ref="P22:S22"/>
    <mergeCell ref="C23:E23"/>
    <mergeCell ref="G23:J23"/>
    <mergeCell ref="P23:S23"/>
    <mergeCell ref="C24:D24"/>
    <mergeCell ref="G24:J24"/>
    <mergeCell ref="P24:S24"/>
    <mergeCell ref="C18:J18"/>
    <mergeCell ref="P18:S18"/>
    <mergeCell ref="C19:E19"/>
    <mergeCell ref="G19:J19"/>
    <mergeCell ref="P19:S19"/>
    <mergeCell ref="C20:D20"/>
    <mergeCell ref="G20:I20"/>
    <mergeCell ref="P20:S20"/>
    <mergeCell ref="C21:D21"/>
    <mergeCell ref="G21:J21"/>
    <mergeCell ref="P21:S21"/>
    <mergeCell ref="C6:E6"/>
    <mergeCell ref="F6:G6"/>
    <mergeCell ref="I6:J6"/>
    <mergeCell ref="O6:S6"/>
    <mergeCell ref="B7:B17"/>
    <mergeCell ref="O7:S7"/>
    <mergeCell ref="O8:S8"/>
    <mergeCell ref="O9:S9"/>
    <mergeCell ref="O10:S10"/>
    <mergeCell ref="O11:S11"/>
    <mergeCell ref="O12:S12"/>
    <mergeCell ref="O13:S13"/>
    <mergeCell ref="O14:S14"/>
    <mergeCell ref="O15:S15"/>
    <mergeCell ref="O16:S16"/>
    <mergeCell ref="L17:S17"/>
    <mergeCell ref="L1:S1"/>
    <mergeCell ref="B2:J2"/>
    <mergeCell ref="L2:S2"/>
    <mergeCell ref="B3:J3"/>
    <mergeCell ref="C4:E4"/>
    <mergeCell ref="F4:G4"/>
    <mergeCell ref="I4:J4"/>
    <mergeCell ref="L4:S4"/>
    <mergeCell ref="C5:E5"/>
    <mergeCell ref="F5:G5"/>
    <mergeCell ref="I5:J5"/>
    <mergeCell ref="O5:S5"/>
  </mergeCells>
  <conditionalFormatting sqref="M13">
    <cfRule type="colorScale" priority="6">
      <colorScale>
        <cfvo type="num" val="0"/>
        <cfvo type="num" val="0.6"/>
        <cfvo type="num" val="0.9"/>
        <color rgb="FFC6EFCE"/>
        <color rgb="FFFFEB9C"/>
        <color rgb="FFFFC7CE"/>
      </colorScale>
    </cfRule>
  </conditionalFormatting>
  <conditionalFormatting sqref="M14">
    <cfRule type="colorScale" priority="5">
      <colorScale>
        <cfvo type="num" val="0"/>
        <cfvo type="num" val="3"/>
        <cfvo type="num" val="8"/>
        <color rgb="FFC6EFCE"/>
        <color rgb="FFFFEB9C"/>
        <color rgb="FFFFC7CE"/>
      </colorScale>
    </cfRule>
  </conditionalFormatting>
  <conditionalFormatting sqref="P19:P25">
    <cfRule type="expression" dxfId="49" priority="2">
      <formula>P19="Sufficient"</formula>
    </cfRule>
    <cfRule type="expression" dxfId="48" priority="3">
      <formula>P19="Shortfall"</formula>
    </cfRule>
    <cfRule type="expression" dxfId="47" priority="4">
      <formula>P19="Data pending"</formula>
    </cfRule>
  </conditionalFormatting>
  <dataValidations count="5">
    <dataValidation type="list" allowBlank="1" showInputMessage="1" showErrorMessage="1" sqref="B3 C18:J18" xr:uid="{00000000-0002-0000-0100-000000000000}">
      <formula1>"Personal Loan,Business Loan,Micro Loan,Home Loan,LAP Loan"</formula1>
      <formula2>0</formula2>
    </dataValidation>
    <dataValidation type="list" allowBlank="1" showInputMessage="1" showErrorMessage="1" sqref="C19:E19" xr:uid="{00000000-0002-0000-0100-000001000000}">
      <formula1>$XFB$2:$XFB$8</formula1>
      <formula2>0</formula2>
    </dataValidation>
    <dataValidation type="list" allowBlank="1" showInputMessage="1" showErrorMessage="1" sqref="G19:J19" xr:uid="{00000000-0002-0000-0100-000002000000}">
      <formula1>"General Personal Loan,Group Employee Personal Loan,General Business Loan,Group Employee Business Loan,Small Ticket Home Loan,High Ticket Home Loan,Small Ticket LAP,High Ticket LAP"</formula1>
      <formula2>0</formula2>
    </dataValidation>
    <dataValidation type="list" allowBlank="1" showInputMessage="1" showErrorMessage="1" sqref="C68:J68" xr:uid="{00000000-0002-0000-0100-000003000000}">
      <formula1>"RCM,ZCM,Lead CUT,ZCM+Lead CUT,CH,CH+CBO,CH/CBO/RH(any tow),CH+CBO+RH/CRO,CBO+RH/CRO+CEO"</formula1>
      <formula2>0</formula2>
    </dataValidation>
    <dataValidation type="list" allowBlank="1" showInputMessage="1" showErrorMessage="1" sqref="G8:G10" xr:uid="{00000000-0002-0000-0100-000004000000}">
      <formula1>"Yes,No"</formula1>
      <formula2>0</formula2>
    </dataValidation>
  </dataValidations>
  <pageMargins left="0.2" right="0.2" top="0.2" bottom="0.2" header="0.511811023622047" footer="0.1"/>
  <pageSetup scale="76" orientation="portrait" horizontalDpi="300" verticalDpi="300"/>
  <headerFooter>
    <oddFooter>&amp;C&amp;F</oddFooter>
  </headerFooter>
  <rowBreaks count="1" manualBreakCount="1">
    <brk id="45" max="16383" man="1"/>
  </rowBreaks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5B6"/>
  </sheetPr>
  <dimension ref="A1:XFD9"/>
  <sheetViews>
    <sheetView zoomScaleNormal="100" workbookViewId="0">
      <pane ySplit="1" topLeftCell="A2" activePane="bottomLeft" state="frozen"/>
      <selection pane="bottomLeft" activeCell="B2" sqref="B2"/>
    </sheetView>
  </sheetViews>
  <sheetFormatPr defaultColWidth="8.6640625" defaultRowHeight="14.4" x14ac:dyDescent="0.3"/>
  <cols>
    <col min="2" max="2" width="17.33203125" customWidth="1"/>
    <col min="3" max="3" width="27.88671875" customWidth="1"/>
    <col min="4" max="4" width="15.33203125" customWidth="1"/>
    <col min="5" max="5" width="12.109375" customWidth="1"/>
    <col min="6" max="6" width="14.88671875" customWidth="1"/>
    <col min="7" max="7" width="12.6640625" customWidth="1"/>
    <col min="8" max="8" width="10.44140625" customWidth="1"/>
    <col min="9" max="9" width="14.88671875" customWidth="1"/>
    <col min="10" max="10" width="23.88671875" customWidth="1"/>
    <col min="11" max="11" width="23.109375" customWidth="1"/>
    <col min="16381" max="16381" width="5.6640625" customWidth="1"/>
    <col min="16382" max="16383" width="8.88671875" hidden="1" customWidth="1"/>
    <col min="16384" max="16384" width="19.109375" hidden="1" customWidth="1"/>
  </cols>
  <sheetData>
    <row r="1" spans="1:11 16384:16384" ht="32.25" customHeight="1" x14ac:dyDescent="0.3">
      <c r="A1" s="60" t="s">
        <v>155</v>
      </c>
      <c r="B1" s="60" t="s">
        <v>156</v>
      </c>
      <c r="C1" s="60" t="s">
        <v>157</v>
      </c>
      <c r="D1" s="60" t="s">
        <v>158</v>
      </c>
      <c r="E1" s="60" t="s">
        <v>159</v>
      </c>
      <c r="F1" s="60" t="s">
        <v>159</v>
      </c>
      <c r="G1" s="60" t="s">
        <v>160</v>
      </c>
      <c r="H1" s="60" t="s">
        <v>161</v>
      </c>
      <c r="I1" s="64" t="s">
        <v>162</v>
      </c>
      <c r="J1" s="60" t="s">
        <v>163</v>
      </c>
      <c r="K1" s="60" t="s">
        <v>164</v>
      </c>
      <c r="XFD1" s="65" t="s">
        <v>84</v>
      </c>
    </row>
    <row r="2" spans="1:11 16384:16384" ht="21.75" customHeight="1" x14ac:dyDescent="0.3">
      <c r="A2" s="66">
        <v>1</v>
      </c>
      <c r="B2" s="67"/>
      <c r="C2" s="67"/>
      <c r="D2" s="67"/>
      <c r="E2" s="68"/>
      <c r="F2" s="68"/>
      <c r="G2" s="69"/>
      <c r="H2" s="70"/>
      <c r="I2" s="69"/>
      <c r="J2" s="71"/>
      <c r="K2" s="71"/>
      <c r="XFD2" s="65" t="s">
        <v>69</v>
      </c>
    </row>
    <row r="3" spans="1:11 16384:16384" ht="22.5" hidden="1" customHeight="1" x14ac:dyDescent="0.3">
      <c r="A3" s="66">
        <v>2</v>
      </c>
      <c r="B3" s="67" t="s">
        <v>64</v>
      </c>
      <c r="C3" s="67"/>
      <c r="D3" s="67"/>
      <c r="E3" s="68"/>
      <c r="F3" s="68"/>
      <c r="G3" s="69">
        <f>MIN(E3:F3)</f>
        <v>0</v>
      </c>
      <c r="H3" s="70">
        <v>0.5</v>
      </c>
      <c r="I3" s="69">
        <f>G3*H3</f>
        <v>0</v>
      </c>
      <c r="J3" s="71"/>
      <c r="K3" s="72"/>
      <c r="XFD3" s="65" t="s">
        <v>77</v>
      </c>
    </row>
    <row r="4" spans="1:11 16384:16384" ht="21" hidden="1" customHeight="1" x14ac:dyDescent="0.3">
      <c r="A4" s="66">
        <v>3</v>
      </c>
      <c r="B4" s="67" t="s">
        <v>84</v>
      </c>
      <c r="C4" s="67"/>
      <c r="D4" s="67"/>
      <c r="E4" s="68"/>
      <c r="F4" s="68"/>
      <c r="G4" s="69">
        <f>MIN(E4:F4)</f>
        <v>0</v>
      </c>
      <c r="H4" s="70">
        <v>0.4</v>
      </c>
      <c r="I4" s="69">
        <f>G4*H4</f>
        <v>0</v>
      </c>
      <c r="J4" s="71"/>
      <c r="K4" s="72"/>
      <c r="XFD4" s="65" t="s">
        <v>64</v>
      </c>
    </row>
    <row r="5" spans="1:11 16384:16384" ht="21.75" hidden="1" customHeight="1" x14ac:dyDescent="0.3">
      <c r="A5" s="66">
        <v>4</v>
      </c>
      <c r="B5" s="67" t="s">
        <v>165</v>
      </c>
      <c r="C5" s="67"/>
      <c r="D5" s="67"/>
      <c r="E5" s="68"/>
      <c r="F5" s="68"/>
      <c r="G5" s="69">
        <f>MIN(E5:F5)</f>
        <v>0</v>
      </c>
      <c r="H5" s="70">
        <v>0.65</v>
      </c>
      <c r="I5" s="69">
        <f>G5*H5</f>
        <v>0</v>
      </c>
      <c r="J5" s="71"/>
      <c r="K5" s="72"/>
      <c r="XFD5" s="65" t="s">
        <v>166</v>
      </c>
    </row>
    <row r="6" spans="1:11 16384:16384" ht="21.75" hidden="1" customHeight="1" x14ac:dyDescent="0.3">
      <c r="A6" s="66">
        <v>5</v>
      </c>
      <c r="B6" s="67" t="s">
        <v>166</v>
      </c>
      <c r="C6" s="67"/>
      <c r="D6" s="67"/>
      <c r="E6" s="68"/>
      <c r="F6" s="68"/>
      <c r="G6" s="69">
        <f>MIN(E6:F6)</f>
        <v>0</v>
      </c>
      <c r="H6" s="70">
        <v>0.65</v>
      </c>
      <c r="I6" s="69">
        <f>G6*H6</f>
        <v>0</v>
      </c>
      <c r="J6" s="71"/>
      <c r="K6" s="72"/>
      <c r="XFD6" s="65" t="s">
        <v>167</v>
      </c>
    </row>
    <row r="7" spans="1:11 16384:16384" ht="27.75" customHeight="1" x14ac:dyDescent="0.3">
      <c r="A7" s="69" t="s">
        <v>168</v>
      </c>
      <c r="B7" s="69"/>
      <c r="C7" s="69"/>
      <c r="D7" s="69"/>
      <c r="E7" s="69">
        <f>SUM(E2:E6)</f>
        <v>0</v>
      </c>
      <c r="F7" s="69">
        <f>SUM(F2:F6)</f>
        <v>0</v>
      </c>
      <c r="G7" s="69">
        <f>SUM(G2:G6)</f>
        <v>0</v>
      </c>
      <c r="H7" s="73" t="e">
        <f>I7/G7</f>
        <v>#DIV/0!</v>
      </c>
      <c r="I7" s="69">
        <f>SUM(I2:I6)</f>
        <v>0</v>
      </c>
      <c r="J7" s="69"/>
      <c r="K7" s="69"/>
      <c r="XFD7" s="65" t="s">
        <v>169</v>
      </c>
    </row>
    <row r="8" spans="1:11 16384:16384" x14ac:dyDescent="0.3">
      <c r="XFD8" s="65" t="s">
        <v>165</v>
      </c>
    </row>
    <row r="9" spans="1:11 16384:16384" x14ac:dyDescent="0.3">
      <c r="XFD9" s="65" t="s">
        <v>170</v>
      </c>
    </row>
  </sheetData>
  <dataValidations count="1">
    <dataValidation type="list" allowBlank="1" showInputMessage="1" showErrorMessage="1" sqref="B2:B6" xr:uid="{00000000-0002-0000-0200-000000000000}">
      <formula1>$XFD$1:$XFD$9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08080"/>
  </sheetPr>
  <dimension ref="B1:C14"/>
  <sheetViews>
    <sheetView zoomScaleNormal="100" workbookViewId="0">
      <pane ySplit="1" topLeftCell="A2" activePane="bottomLeft" state="frozen"/>
      <selection pane="bottomLeft" activeCell="D2" sqref="D2"/>
    </sheetView>
  </sheetViews>
  <sheetFormatPr defaultColWidth="8.6640625" defaultRowHeight="14.4" x14ac:dyDescent="0.3"/>
  <cols>
    <col min="3" max="3" width="10.44140625" style="74" customWidth="1"/>
  </cols>
  <sheetData>
    <row r="1" spans="2:3" x14ac:dyDescent="0.3">
      <c r="B1" s="75" t="s">
        <v>171</v>
      </c>
      <c r="C1" s="76" t="s">
        <v>172</v>
      </c>
    </row>
    <row r="2" spans="2:3" x14ac:dyDescent="0.3">
      <c r="B2" s="77">
        <v>46048</v>
      </c>
      <c r="C2" s="78"/>
    </row>
    <row r="3" spans="2:3" x14ac:dyDescent="0.3">
      <c r="B3" s="77">
        <v>46016</v>
      </c>
      <c r="C3" s="78"/>
    </row>
    <row r="4" spans="2:3" x14ac:dyDescent="0.3">
      <c r="B4" s="77">
        <v>45986</v>
      </c>
      <c r="C4" s="78"/>
    </row>
    <row r="5" spans="2:3" x14ac:dyDescent="0.3">
      <c r="B5" s="77">
        <v>45955</v>
      </c>
      <c r="C5" s="78"/>
    </row>
    <row r="6" spans="2:3" x14ac:dyDescent="0.3">
      <c r="B6" s="77">
        <v>45925</v>
      </c>
      <c r="C6" s="78"/>
    </row>
    <row r="7" spans="2:3" x14ac:dyDescent="0.3">
      <c r="B7" s="77">
        <v>45894</v>
      </c>
      <c r="C7" s="78"/>
    </row>
    <row r="8" spans="2:3" x14ac:dyDescent="0.3">
      <c r="B8" s="77">
        <v>45863</v>
      </c>
      <c r="C8" s="78"/>
    </row>
    <row r="9" spans="2:3" x14ac:dyDescent="0.3">
      <c r="B9" s="77">
        <v>45833</v>
      </c>
      <c r="C9" s="78"/>
    </row>
    <row r="10" spans="2:3" x14ac:dyDescent="0.3">
      <c r="B10" s="77">
        <v>45802</v>
      </c>
      <c r="C10" s="78"/>
    </row>
    <row r="11" spans="2:3" x14ac:dyDescent="0.3">
      <c r="B11" s="77">
        <v>45772</v>
      </c>
      <c r="C11" s="78"/>
    </row>
    <row r="12" spans="2:3" x14ac:dyDescent="0.3">
      <c r="B12" s="72" t="s">
        <v>168</v>
      </c>
      <c r="C12" s="78">
        <f>SUM(C2:C11)</f>
        <v>0</v>
      </c>
    </row>
    <row r="13" spans="2:3" x14ac:dyDescent="0.3">
      <c r="B13" s="72" t="s">
        <v>173</v>
      </c>
      <c r="C13" s="78">
        <f>C12/10</f>
        <v>0</v>
      </c>
    </row>
    <row r="14" spans="2:3" x14ac:dyDescent="0.3">
      <c r="B14" s="72" t="s">
        <v>174</v>
      </c>
      <c r="C14" s="78">
        <f>C13*12</f>
        <v>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E75B6"/>
    <pageSetUpPr fitToPage="1"/>
  </sheetPr>
  <dimension ref="A1:AG46"/>
  <sheetViews>
    <sheetView tabSelected="1" zoomScaleNormal="100" workbookViewId="0">
      <selection activeCell="A7" sqref="A7"/>
    </sheetView>
  </sheetViews>
  <sheetFormatPr defaultColWidth="8.6640625" defaultRowHeight="14.4" x14ac:dyDescent="0.3"/>
  <cols>
    <col min="1" max="1" width="18" customWidth="1"/>
    <col min="2" max="2" width="14.44140625" customWidth="1"/>
    <col min="3" max="3" width="12.88671875" customWidth="1"/>
    <col min="4" max="4" width="7.88671875" customWidth="1"/>
    <col min="5" max="5" width="19.88671875" customWidth="1"/>
    <col min="6" max="6" width="2" customWidth="1"/>
    <col min="7" max="7" width="8" customWidth="1"/>
    <col min="8" max="8" width="6" customWidth="1"/>
    <col min="9" max="9" width="7" customWidth="1"/>
    <col min="10" max="10" width="10.5546875" customWidth="1"/>
    <col min="11" max="11" width="12.109375" customWidth="1"/>
    <col min="12" max="12" width="19.44140625" customWidth="1"/>
    <col min="13" max="13" width="9" customWidth="1"/>
    <col min="14" max="14" width="6.109375" customWidth="1"/>
    <col min="15" max="15" width="9.6640625" customWidth="1"/>
    <col min="16" max="16" width="12.88671875" customWidth="1"/>
    <col min="17" max="17" width="5.88671875" customWidth="1"/>
    <col min="18" max="18" width="13.109375" customWidth="1"/>
    <col min="19" max="19" width="9.6640625" customWidth="1"/>
    <col min="20" max="20" width="12.6640625" customWidth="1"/>
    <col min="21" max="21" width="6.88671875" customWidth="1"/>
    <col min="22" max="22" width="7.33203125" customWidth="1"/>
    <col min="23" max="23" width="7" customWidth="1"/>
    <col min="24" max="24" width="6.5546875" customWidth="1"/>
    <col min="25" max="25" width="7" customWidth="1"/>
    <col min="26" max="26" width="7.33203125" customWidth="1"/>
    <col min="27" max="27" width="6.6640625" customWidth="1"/>
    <col min="28" max="28" width="7" customWidth="1"/>
    <col min="29" max="29" width="7.109375" customWidth="1"/>
    <col min="30" max="30" width="6.109375" customWidth="1"/>
    <col min="31" max="31" width="6.6640625" customWidth="1"/>
    <col min="32" max="32" width="7.5546875" customWidth="1"/>
  </cols>
  <sheetData>
    <row r="1" spans="1:33" ht="64.5" customHeight="1" x14ac:dyDescent="0.3">
      <c r="A1" s="363" t="s">
        <v>175</v>
      </c>
      <c r="B1" s="363"/>
      <c r="C1" s="364" t="s">
        <v>176</v>
      </c>
      <c r="D1" s="364"/>
      <c r="E1" s="364"/>
      <c r="F1" s="364"/>
      <c r="G1" s="363" t="s">
        <v>177</v>
      </c>
      <c r="H1" s="363"/>
      <c r="I1" s="363"/>
      <c r="J1" s="363"/>
      <c r="K1" s="364" t="s">
        <v>178</v>
      </c>
      <c r="L1" s="364"/>
    </row>
    <row r="2" spans="1:33" ht="15" customHeight="1" x14ac:dyDescent="0.3">
      <c r="A2" s="79" t="s">
        <v>179</v>
      </c>
      <c r="B2" s="80">
        <f>SUMIF(F7:F46,1,I7:I46)</f>
        <v>0</v>
      </c>
      <c r="C2" s="365" t="s">
        <v>179</v>
      </c>
      <c r="D2" s="365"/>
      <c r="E2" s="81">
        <f>SUMIF(F7:F46,4,I7:I46)</f>
        <v>0</v>
      </c>
      <c r="F2" s="81"/>
      <c r="G2" s="366" t="s">
        <v>180</v>
      </c>
      <c r="H2" s="366"/>
      <c r="I2" s="366"/>
      <c r="J2" s="82"/>
      <c r="K2" s="79" t="s">
        <v>179</v>
      </c>
      <c r="L2" s="80">
        <f>J2+B2</f>
        <v>0</v>
      </c>
    </row>
    <row r="3" spans="1:33" ht="15.75" customHeight="1" x14ac:dyDescent="0.3">
      <c r="A3" s="83" t="s">
        <v>181</v>
      </c>
      <c r="B3" s="84">
        <f>SUMIF(F7:F46,1,H7:H46)</f>
        <v>0</v>
      </c>
      <c r="C3" s="367" t="s">
        <v>181</v>
      </c>
      <c r="D3" s="367"/>
      <c r="E3" s="85">
        <f>SUMIF(F7:F46,4,H7:H46)</f>
        <v>0</v>
      </c>
      <c r="F3" s="86"/>
      <c r="G3" s="366" t="s">
        <v>182</v>
      </c>
      <c r="H3" s="366"/>
      <c r="I3" s="366"/>
      <c r="J3" s="82"/>
      <c r="K3" s="79" t="s">
        <v>181</v>
      </c>
      <c r="L3" s="87" t="e">
        <f>J5+B3</f>
        <v>#NUM!</v>
      </c>
    </row>
    <row r="4" spans="1:33" ht="15" customHeight="1" x14ac:dyDescent="0.3">
      <c r="A4" s="368" t="s">
        <v>183</v>
      </c>
      <c r="B4" s="368"/>
      <c r="C4" s="369" t="s">
        <v>179</v>
      </c>
      <c r="D4" s="369"/>
      <c r="E4" s="88">
        <f>SUMIF(F7:F46,3,I7:I46)</f>
        <v>0</v>
      </c>
      <c r="F4" s="89"/>
      <c r="G4" s="366" t="s">
        <v>184</v>
      </c>
      <c r="H4" s="366"/>
      <c r="I4" s="366"/>
      <c r="J4" s="90"/>
      <c r="K4" s="91"/>
      <c r="L4" s="92"/>
    </row>
    <row r="5" spans="1:33" ht="15.75" customHeight="1" x14ac:dyDescent="0.3">
      <c r="A5" s="368"/>
      <c r="B5" s="368"/>
      <c r="C5" s="370" t="s">
        <v>181</v>
      </c>
      <c r="D5" s="370"/>
      <c r="E5" s="93">
        <f>SUMIF(F7:F46,3,H7:H46)</f>
        <v>0</v>
      </c>
      <c r="F5" s="94"/>
      <c r="G5" s="371" t="s">
        <v>185</v>
      </c>
      <c r="H5" s="371"/>
      <c r="I5" s="371"/>
      <c r="J5" s="95" t="e">
        <f>ROUND(PMT(J4/12,J3,-J2),0)</f>
        <v>#NUM!</v>
      </c>
      <c r="K5" s="91"/>
      <c r="L5" s="92"/>
    </row>
    <row r="6" spans="1:33" ht="45.75" customHeight="1" x14ac:dyDescent="0.3">
      <c r="A6" s="96" t="s">
        <v>186</v>
      </c>
      <c r="B6" s="97" t="s">
        <v>187</v>
      </c>
      <c r="C6" s="98" t="s">
        <v>188</v>
      </c>
      <c r="D6" s="97" t="s">
        <v>3</v>
      </c>
      <c r="E6" s="99" t="s">
        <v>189</v>
      </c>
      <c r="F6" s="97"/>
      <c r="G6" s="98" t="s">
        <v>190</v>
      </c>
      <c r="H6" s="97" t="s">
        <v>185</v>
      </c>
      <c r="I6" s="97" t="s">
        <v>191</v>
      </c>
      <c r="J6" s="98" t="s">
        <v>192</v>
      </c>
      <c r="K6" s="98" t="s">
        <v>193</v>
      </c>
      <c r="L6" s="97" t="s">
        <v>194</v>
      </c>
      <c r="M6" s="98" t="s">
        <v>195</v>
      </c>
      <c r="N6" s="98" t="s">
        <v>196</v>
      </c>
      <c r="O6" s="100" t="s">
        <v>197</v>
      </c>
      <c r="P6" s="98" t="s">
        <v>198</v>
      </c>
      <c r="Q6" s="101" t="s">
        <v>199</v>
      </c>
      <c r="R6" s="98" t="s">
        <v>200</v>
      </c>
      <c r="S6" s="98" t="s">
        <v>201</v>
      </c>
      <c r="T6" s="98" t="s">
        <v>202</v>
      </c>
      <c r="U6" s="102">
        <v>46134</v>
      </c>
      <c r="V6" s="103">
        <f t="shared" ref="V6:AF6" si="0">+U6-30</f>
        <v>46104</v>
      </c>
      <c r="W6" s="103">
        <f t="shared" si="0"/>
        <v>46074</v>
      </c>
      <c r="X6" s="103">
        <f t="shared" si="0"/>
        <v>46044</v>
      </c>
      <c r="Y6" s="103">
        <f t="shared" si="0"/>
        <v>46014</v>
      </c>
      <c r="Z6" s="103">
        <f t="shared" si="0"/>
        <v>45984</v>
      </c>
      <c r="AA6" s="103">
        <f t="shared" si="0"/>
        <v>45954</v>
      </c>
      <c r="AB6" s="103">
        <f t="shared" si="0"/>
        <v>45924</v>
      </c>
      <c r="AC6" s="103">
        <f t="shared" si="0"/>
        <v>45894</v>
      </c>
      <c r="AD6" s="103">
        <f t="shared" si="0"/>
        <v>45864</v>
      </c>
      <c r="AE6" s="103">
        <f t="shared" si="0"/>
        <v>45834</v>
      </c>
      <c r="AF6" s="104">
        <f t="shared" si="0"/>
        <v>45804</v>
      </c>
      <c r="AG6" s="105"/>
    </row>
    <row r="7" spans="1:33" x14ac:dyDescent="0.3">
      <c r="A7" s="106"/>
      <c r="B7" s="106"/>
      <c r="C7" s="107"/>
      <c r="D7" s="108"/>
      <c r="E7" s="108"/>
      <c r="F7" s="107">
        <f t="shared" ref="F7:F46" si="1">IF(E7="Live",1,IF(E7="Closed",2,IF(E7="Personal Obligation not considered",3,4)))</f>
        <v>4</v>
      </c>
      <c r="G7" s="108"/>
      <c r="H7" s="108"/>
      <c r="I7" s="108"/>
      <c r="J7" s="108"/>
      <c r="K7" s="109"/>
      <c r="L7" s="110"/>
      <c r="M7" s="108"/>
      <c r="N7" s="108"/>
      <c r="O7" s="111"/>
      <c r="P7" s="108"/>
      <c r="Q7" s="107"/>
      <c r="R7" s="108"/>
      <c r="S7" s="108"/>
      <c r="T7" s="108"/>
      <c r="U7" s="110"/>
      <c r="V7" s="110"/>
      <c r="W7" s="110"/>
      <c r="X7" s="110"/>
      <c r="Y7" s="110"/>
      <c r="Z7" s="110"/>
      <c r="AA7" s="108"/>
      <c r="AB7" s="108"/>
      <c r="AC7" s="108"/>
      <c r="AD7" s="108"/>
      <c r="AE7" s="108"/>
      <c r="AF7" s="112"/>
    </row>
    <row r="8" spans="1:33" x14ac:dyDescent="0.3">
      <c r="A8" s="106"/>
      <c r="B8" s="107"/>
      <c r="C8" s="107"/>
      <c r="D8" s="108"/>
      <c r="E8" s="108"/>
      <c r="F8" s="107">
        <f t="shared" si="1"/>
        <v>4</v>
      </c>
      <c r="G8" s="107"/>
      <c r="H8" s="107"/>
      <c r="I8" s="107"/>
      <c r="J8" s="108"/>
      <c r="K8" s="109"/>
      <c r="L8" s="109"/>
      <c r="M8" s="107"/>
      <c r="N8" s="107"/>
      <c r="O8" s="113"/>
      <c r="P8" s="107"/>
      <c r="Q8" s="107"/>
      <c r="R8" s="108"/>
      <c r="S8" s="108"/>
      <c r="T8" s="107"/>
      <c r="U8" s="110"/>
      <c r="V8" s="110"/>
      <c r="W8" s="110"/>
      <c r="X8" s="110"/>
      <c r="Y8" s="110"/>
      <c r="Z8" s="110"/>
      <c r="AA8" s="110"/>
      <c r="AB8" s="110"/>
      <c r="AC8" s="110"/>
      <c r="AD8" s="110"/>
      <c r="AE8" s="110"/>
      <c r="AF8" s="110"/>
    </row>
    <row r="9" spans="1:33" x14ac:dyDescent="0.3">
      <c r="A9" s="106"/>
      <c r="B9" s="107"/>
      <c r="C9" s="107"/>
      <c r="D9" s="108"/>
      <c r="E9" s="108"/>
      <c r="F9" s="107">
        <f t="shared" si="1"/>
        <v>4</v>
      </c>
      <c r="G9" s="107"/>
      <c r="H9" s="107"/>
      <c r="I9" s="107"/>
      <c r="J9" s="107"/>
      <c r="K9" s="109"/>
      <c r="L9" s="107"/>
      <c r="M9" s="107"/>
      <c r="N9" s="107"/>
      <c r="O9" s="113">
        <f t="shared" ref="O9:O46" si="2">+M9-N9</f>
        <v>0</v>
      </c>
      <c r="P9" s="107"/>
      <c r="Q9" s="107"/>
      <c r="R9" s="107"/>
      <c r="S9" s="107"/>
      <c r="T9" s="107"/>
      <c r="U9" s="109"/>
      <c r="V9" s="109"/>
      <c r="W9" s="109"/>
      <c r="X9" s="109"/>
      <c r="Y9" s="109"/>
      <c r="Z9" s="109"/>
      <c r="AA9" s="107"/>
      <c r="AB9" s="107"/>
      <c r="AC9" s="107"/>
      <c r="AD9" s="107"/>
      <c r="AE9" s="107"/>
      <c r="AF9" s="114"/>
    </row>
    <row r="10" spans="1:33" x14ac:dyDescent="0.3">
      <c r="A10" s="106"/>
      <c r="B10" s="107"/>
      <c r="C10" s="107"/>
      <c r="D10" s="108"/>
      <c r="E10" s="108"/>
      <c r="F10" s="107">
        <f t="shared" si="1"/>
        <v>4</v>
      </c>
      <c r="G10" s="107"/>
      <c r="H10" s="107"/>
      <c r="I10" s="107"/>
      <c r="J10" s="107"/>
      <c r="K10" s="109"/>
      <c r="L10" s="109"/>
      <c r="M10" s="107"/>
      <c r="N10" s="107"/>
      <c r="O10" s="113">
        <f t="shared" si="2"/>
        <v>0</v>
      </c>
      <c r="P10" s="107"/>
      <c r="Q10" s="107"/>
      <c r="R10" s="107"/>
      <c r="S10" s="107"/>
      <c r="T10" s="107"/>
      <c r="U10" s="109"/>
      <c r="V10" s="109"/>
      <c r="W10" s="109"/>
      <c r="X10" s="109"/>
      <c r="Y10" s="109"/>
      <c r="Z10" s="109"/>
      <c r="AA10" s="107"/>
      <c r="AB10" s="107"/>
      <c r="AC10" s="107"/>
      <c r="AD10" s="107"/>
      <c r="AE10" s="107"/>
      <c r="AF10" s="114"/>
    </row>
    <row r="11" spans="1:33" x14ac:dyDescent="0.3">
      <c r="A11" s="115"/>
      <c r="B11" s="107"/>
      <c r="C11" s="107"/>
      <c r="D11" s="108"/>
      <c r="E11" s="108"/>
      <c r="F11" s="107">
        <f t="shared" si="1"/>
        <v>4</v>
      </c>
      <c r="G11" s="107"/>
      <c r="H11" s="107"/>
      <c r="I11" s="107"/>
      <c r="J11" s="107"/>
      <c r="K11" s="109"/>
      <c r="L11" s="107"/>
      <c r="M11" s="107"/>
      <c r="N11" s="107"/>
      <c r="O11" s="113">
        <f t="shared" si="2"/>
        <v>0</v>
      </c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7"/>
      <c r="AF11" s="114"/>
    </row>
    <row r="12" spans="1:33" x14ac:dyDescent="0.3">
      <c r="A12" s="115"/>
      <c r="B12" s="107"/>
      <c r="C12" s="107"/>
      <c r="D12" s="108"/>
      <c r="E12" s="108"/>
      <c r="F12" s="107">
        <f t="shared" si="1"/>
        <v>4</v>
      </c>
      <c r="G12" s="107"/>
      <c r="H12" s="107"/>
      <c r="I12" s="107"/>
      <c r="J12" s="107"/>
      <c r="K12" s="109"/>
      <c r="L12" s="109"/>
      <c r="M12" s="107"/>
      <c r="N12" s="107"/>
      <c r="O12" s="113">
        <f t="shared" si="2"/>
        <v>0</v>
      </c>
      <c r="P12" s="107"/>
      <c r="Q12" s="107"/>
      <c r="R12" s="107"/>
      <c r="S12" s="107"/>
      <c r="T12" s="107"/>
      <c r="U12" s="109"/>
      <c r="V12" s="109"/>
      <c r="W12" s="109"/>
      <c r="X12" s="109"/>
      <c r="Y12" s="109"/>
      <c r="Z12" s="107"/>
      <c r="AA12" s="107"/>
      <c r="AB12" s="107"/>
      <c r="AC12" s="107"/>
      <c r="AD12" s="107"/>
      <c r="AE12" s="107"/>
      <c r="AF12" s="114"/>
    </row>
    <row r="13" spans="1:33" x14ac:dyDescent="0.3">
      <c r="A13" s="115"/>
      <c r="B13" s="107"/>
      <c r="C13" s="107"/>
      <c r="D13" s="108"/>
      <c r="E13" s="108"/>
      <c r="F13" s="107">
        <f t="shared" si="1"/>
        <v>4</v>
      </c>
      <c r="G13" s="107"/>
      <c r="H13" s="107"/>
      <c r="I13" s="107"/>
      <c r="J13" s="107"/>
      <c r="K13" s="109"/>
      <c r="L13" s="109"/>
      <c r="M13" s="107"/>
      <c r="N13" s="107"/>
      <c r="O13" s="113">
        <f t="shared" si="2"/>
        <v>0</v>
      </c>
      <c r="P13" s="107"/>
      <c r="Q13" s="107"/>
      <c r="R13" s="107"/>
      <c r="S13" s="107"/>
      <c r="T13" s="107"/>
      <c r="U13" s="109"/>
      <c r="V13" s="109"/>
      <c r="W13" s="109"/>
      <c r="X13" s="109"/>
      <c r="Y13" s="109"/>
      <c r="Z13" s="107"/>
      <c r="AA13" s="107"/>
      <c r="AB13" s="107"/>
      <c r="AC13" s="107"/>
      <c r="AD13" s="107"/>
      <c r="AE13" s="107"/>
      <c r="AF13" s="107"/>
    </row>
    <row r="14" spans="1:33" x14ac:dyDescent="0.3">
      <c r="A14" s="115"/>
      <c r="B14" s="107"/>
      <c r="C14" s="107"/>
      <c r="D14" s="108"/>
      <c r="E14" s="108"/>
      <c r="F14" s="107">
        <f t="shared" si="1"/>
        <v>4</v>
      </c>
      <c r="G14" s="107"/>
      <c r="H14" s="107"/>
      <c r="I14" s="107"/>
      <c r="J14" s="107"/>
      <c r="K14" s="107"/>
      <c r="L14" s="107"/>
      <c r="M14" s="107"/>
      <c r="N14" s="107"/>
      <c r="O14" s="113">
        <f t="shared" si="2"/>
        <v>0</v>
      </c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  <c r="AA14" s="107"/>
      <c r="AB14" s="107"/>
      <c r="AC14" s="107"/>
      <c r="AD14" s="107"/>
      <c r="AE14" s="107"/>
      <c r="AF14" s="114"/>
    </row>
    <row r="15" spans="1:33" x14ac:dyDescent="0.3">
      <c r="A15" s="115"/>
      <c r="B15" s="107"/>
      <c r="C15" s="107"/>
      <c r="D15" s="108"/>
      <c r="E15" s="108"/>
      <c r="F15" s="107">
        <f t="shared" si="1"/>
        <v>4</v>
      </c>
      <c r="G15" s="107"/>
      <c r="H15" s="107"/>
      <c r="I15" s="107"/>
      <c r="J15" s="107"/>
      <c r="K15" s="107"/>
      <c r="L15" s="107"/>
      <c r="M15" s="107"/>
      <c r="N15" s="107"/>
      <c r="O15" s="113">
        <f t="shared" si="2"/>
        <v>0</v>
      </c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07"/>
      <c r="AE15" s="107"/>
      <c r="AF15" s="114"/>
    </row>
    <row r="16" spans="1:33" x14ac:dyDescent="0.3">
      <c r="A16" s="115"/>
      <c r="B16" s="107"/>
      <c r="C16" s="107"/>
      <c r="D16" s="108"/>
      <c r="E16" s="108"/>
      <c r="F16" s="107">
        <f t="shared" si="1"/>
        <v>4</v>
      </c>
      <c r="G16" s="107"/>
      <c r="H16" s="107"/>
      <c r="I16" s="107"/>
      <c r="J16" s="107"/>
      <c r="K16" s="107"/>
      <c r="L16" s="107"/>
      <c r="M16" s="107"/>
      <c r="N16" s="107"/>
      <c r="O16" s="113">
        <f t="shared" si="2"/>
        <v>0</v>
      </c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  <c r="AA16" s="107"/>
      <c r="AB16" s="107"/>
      <c r="AC16" s="107"/>
      <c r="AD16" s="107"/>
      <c r="AE16" s="107"/>
      <c r="AF16" s="114"/>
    </row>
    <row r="17" spans="1:32" x14ac:dyDescent="0.3">
      <c r="A17" s="115"/>
      <c r="B17" s="107"/>
      <c r="C17" s="107"/>
      <c r="D17" s="108"/>
      <c r="E17" s="108"/>
      <c r="F17" s="107">
        <f t="shared" si="1"/>
        <v>4</v>
      </c>
      <c r="G17" s="107"/>
      <c r="H17" s="107"/>
      <c r="I17" s="107"/>
      <c r="J17" s="107"/>
      <c r="K17" s="107"/>
      <c r="L17" s="107"/>
      <c r="M17" s="107"/>
      <c r="N17" s="107"/>
      <c r="O17" s="113">
        <f t="shared" si="2"/>
        <v>0</v>
      </c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  <c r="AA17" s="107"/>
      <c r="AB17" s="107"/>
      <c r="AC17" s="107"/>
      <c r="AD17" s="107"/>
      <c r="AE17" s="107"/>
      <c r="AF17" s="114"/>
    </row>
    <row r="18" spans="1:32" x14ac:dyDescent="0.3">
      <c r="A18" s="115"/>
      <c r="B18" s="107"/>
      <c r="C18" s="107"/>
      <c r="D18" s="108"/>
      <c r="E18" s="108"/>
      <c r="F18" s="107">
        <f t="shared" si="1"/>
        <v>4</v>
      </c>
      <c r="G18" s="107"/>
      <c r="H18" s="107"/>
      <c r="I18" s="107"/>
      <c r="J18" s="107"/>
      <c r="K18" s="107"/>
      <c r="L18" s="107"/>
      <c r="M18" s="107"/>
      <c r="N18" s="107"/>
      <c r="O18" s="113">
        <f t="shared" si="2"/>
        <v>0</v>
      </c>
      <c r="P18" s="107"/>
      <c r="Q18" s="107"/>
      <c r="R18" s="107"/>
      <c r="S18" s="107"/>
      <c r="T18" s="107"/>
      <c r="U18" s="107"/>
      <c r="V18" s="107"/>
      <c r="W18" s="107"/>
      <c r="X18" s="107"/>
      <c r="Y18" s="107"/>
      <c r="Z18" s="107"/>
      <c r="AA18" s="107"/>
      <c r="AB18" s="107"/>
      <c r="AC18" s="107"/>
      <c r="AD18" s="107"/>
      <c r="AE18" s="107"/>
      <c r="AF18" s="114"/>
    </row>
    <row r="19" spans="1:32" x14ac:dyDescent="0.3">
      <c r="A19" s="115"/>
      <c r="B19" s="107"/>
      <c r="C19" s="107"/>
      <c r="D19" s="108"/>
      <c r="E19" s="108"/>
      <c r="F19" s="107">
        <f t="shared" si="1"/>
        <v>4</v>
      </c>
      <c r="G19" s="107"/>
      <c r="H19" s="107"/>
      <c r="I19" s="107"/>
      <c r="J19" s="107"/>
      <c r="K19" s="107"/>
      <c r="L19" s="107"/>
      <c r="M19" s="107"/>
      <c r="N19" s="107"/>
      <c r="O19" s="113">
        <f t="shared" si="2"/>
        <v>0</v>
      </c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  <c r="AA19" s="107"/>
      <c r="AB19" s="107"/>
      <c r="AC19" s="107"/>
      <c r="AD19" s="107"/>
      <c r="AE19" s="107"/>
      <c r="AF19" s="114"/>
    </row>
    <row r="20" spans="1:32" x14ac:dyDescent="0.3">
      <c r="A20" s="115"/>
      <c r="B20" s="107"/>
      <c r="C20" s="107"/>
      <c r="D20" s="108"/>
      <c r="E20" s="108"/>
      <c r="F20" s="107">
        <f t="shared" si="1"/>
        <v>4</v>
      </c>
      <c r="G20" s="107"/>
      <c r="H20" s="107"/>
      <c r="I20" s="107"/>
      <c r="J20" s="107"/>
      <c r="K20" s="107"/>
      <c r="L20" s="107"/>
      <c r="M20" s="107"/>
      <c r="N20" s="107"/>
      <c r="O20" s="113">
        <f t="shared" si="2"/>
        <v>0</v>
      </c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  <c r="AB20" s="107"/>
      <c r="AC20" s="107"/>
      <c r="AD20" s="107"/>
      <c r="AE20" s="107"/>
      <c r="AF20" s="114"/>
    </row>
    <row r="21" spans="1:32" x14ac:dyDescent="0.3">
      <c r="A21" s="115"/>
      <c r="B21" s="107"/>
      <c r="C21" s="107"/>
      <c r="D21" s="108"/>
      <c r="E21" s="108"/>
      <c r="F21" s="107">
        <f t="shared" si="1"/>
        <v>4</v>
      </c>
      <c r="G21" s="107"/>
      <c r="H21" s="107"/>
      <c r="I21" s="107"/>
      <c r="J21" s="107"/>
      <c r="K21" s="107"/>
      <c r="L21" s="107"/>
      <c r="M21" s="107"/>
      <c r="N21" s="107"/>
      <c r="O21" s="113">
        <f t="shared" si="2"/>
        <v>0</v>
      </c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7"/>
      <c r="AE21" s="107"/>
      <c r="AF21" s="114"/>
    </row>
    <row r="22" spans="1:32" x14ac:dyDescent="0.3">
      <c r="A22" s="115"/>
      <c r="B22" s="107"/>
      <c r="C22" s="107"/>
      <c r="D22" s="108"/>
      <c r="E22" s="108"/>
      <c r="F22" s="107">
        <f t="shared" si="1"/>
        <v>4</v>
      </c>
      <c r="G22" s="107"/>
      <c r="H22" s="107"/>
      <c r="I22" s="107"/>
      <c r="J22" s="107"/>
      <c r="K22" s="107"/>
      <c r="L22" s="107"/>
      <c r="M22" s="107"/>
      <c r="N22" s="107"/>
      <c r="O22" s="113">
        <f t="shared" si="2"/>
        <v>0</v>
      </c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  <c r="AB22" s="107"/>
      <c r="AC22" s="107"/>
      <c r="AD22" s="107"/>
      <c r="AE22" s="107"/>
      <c r="AF22" s="114"/>
    </row>
    <row r="23" spans="1:32" x14ac:dyDescent="0.3">
      <c r="A23" s="115"/>
      <c r="B23" s="107"/>
      <c r="C23" s="107"/>
      <c r="D23" s="108"/>
      <c r="E23" s="108"/>
      <c r="F23" s="107">
        <f t="shared" si="1"/>
        <v>4</v>
      </c>
      <c r="G23" s="107"/>
      <c r="H23" s="107"/>
      <c r="I23" s="107"/>
      <c r="J23" s="107"/>
      <c r="K23" s="107"/>
      <c r="L23" s="107"/>
      <c r="M23" s="107"/>
      <c r="N23" s="107"/>
      <c r="O23" s="113">
        <f t="shared" si="2"/>
        <v>0</v>
      </c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  <c r="AD23" s="107"/>
      <c r="AE23" s="107"/>
      <c r="AF23" s="114"/>
    </row>
    <row r="24" spans="1:32" x14ac:dyDescent="0.3">
      <c r="A24" s="115"/>
      <c r="B24" s="107"/>
      <c r="C24" s="107"/>
      <c r="D24" s="108"/>
      <c r="E24" s="108"/>
      <c r="F24" s="107">
        <f t="shared" si="1"/>
        <v>4</v>
      </c>
      <c r="G24" s="107"/>
      <c r="H24" s="107"/>
      <c r="I24" s="107"/>
      <c r="J24" s="107"/>
      <c r="K24" s="107"/>
      <c r="L24" s="107"/>
      <c r="M24" s="107"/>
      <c r="N24" s="107"/>
      <c r="O24" s="113">
        <f t="shared" si="2"/>
        <v>0</v>
      </c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  <c r="AB24" s="107"/>
      <c r="AC24" s="107"/>
      <c r="AD24" s="107"/>
      <c r="AE24" s="107"/>
      <c r="AF24" s="114"/>
    </row>
    <row r="25" spans="1:32" x14ac:dyDescent="0.3">
      <c r="A25" s="115"/>
      <c r="B25" s="107"/>
      <c r="C25" s="107"/>
      <c r="D25" s="108"/>
      <c r="E25" s="108"/>
      <c r="F25" s="107">
        <f t="shared" si="1"/>
        <v>4</v>
      </c>
      <c r="G25" s="107"/>
      <c r="H25" s="107"/>
      <c r="I25" s="107"/>
      <c r="J25" s="107"/>
      <c r="K25" s="107"/>
      <c r="L25" s="107"/>
      <c r="M25" s="107"/>
      <c r="N25" s="107"/>
      <c r="O25" s="113">
        <f t="shared" si="2"/>
        <v>0</v>
      </c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  <c r="AE25" s="107"/>
      <c r="AF25" s="114"/>
    </row>
    <row r="26" spans="1:32" x14ac:dyDescent="0.3">
      <c r="A26" s="115"/>
      <c r="B26" s="107"/>
      <c r="C26" s="107"/>
      <c r="D26" s="108"/>
      <c r="E26" s="108"/>
      <c r="F26" s="107">
        <f t="shared" si="1"/>
        <v>4</v>
      </c>
      <c r="G26" s="107"/>
      <c r="H26" s="107"/>
      <c r="I26" s="107"/>
      <c r="J26" s="107"/>
      <c r="K26" s="107"/>
      <c r="L26" s="107"/>
      <c r="M26" s="107"/>
      <c r="N26" s="107"/>
      <c r="O26" s="113">
        <f t="shared" si="2"/>
        <v>0</v>
      </c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14"/>
    </row>
    <row r="27" spans="1:32" x14ac:dyDescent="0.3">
      <c r="A27" s="115"/>
      <c r="B27" s="107"/>
      <c r="C27" s="107"/>
      <c r="D27" s="108"/>
      <c r="E27" s="108"/>
      <c r="F27" s="107">
        <f t="shared" si="1"/>
        <v>4</v>
      </c>
      <c r="G27" s="107"/>
      <c r="H27" s="107"/>
      <c r="I27" s="107"/>
      <c r="J27" s="107"/>
      <c r="K27" s="107"/>
      <c r="L27" s="107"/>
      <c r="M27" s="107"/>
      <c r="N27" s="107"/>
      <c r="O27" s="113">
        <f t="shared" si="2"/>
        <v>0</v>
      </c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14"/>
    </row>
    <row r="28" spans="1:32" x14ac:dyDescent="0.3">
      <c r="A28" s="115"/>
      <c r="B28" s="107"/>
      <c r="C28" s="107"/>
      <c r="D28" s="108"/>
      <c r="E28" s="108"/>
      <c r="F28" s="107">
        <f t="shared" si="1"/>
        <v>4</v>
      </c>
      <c r="G28" s="107"/>
      <c r="H28" s="107"/>
      <c r="I28" s="107"/>
      <c r="J28" s="107"/>
      <c r="K28" s="107"/>
      <c r="L28" s="107"/>
      <c r="M28" s="107"/>
      <c r="N28" s="107"/>
      <c r="O28" s="113">
        <f t="shared" si="2"/>
        <v>0</v>
      </c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  <c r="AC28" s="107"/>
      <c r="AD28" s="107"/>
      <c r="AE28" s="107"/>
      <c r="AF28" s="114"/>
    </row>
    <row r="29" spans="1:32" x14ac:dyDescent="0.3">
      <c r="A29" s="115"/>
      <c r="B29" s="107"/>
      <c r="C29" s="107"/>
      <c r="D29" s="108"/>
      <c r="E29" s="108"/>
      <c r="F29" s="107">
        <f t="shared" si="1"/>
        <v>4</v>
      </c>
      <c r="G29" s="107"/>
      <c r="H29" s="107"/>
      <c r="I29" s="107"/>
      <c r="J29" s="107"/>
      <c r="K29" s="107"/>
      <c r="L29" s="107"/>
      <c r="M29" s="107"/>
      <c r="N29" s="107"/>
      <c r="O29" s="113">
        <f t="shared" si="2"/>
        <v>0</v>
      </c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7"/>
      <c r="AD29" s="107"/>
      <c r="AE29" s="107"/>
      <c r="AF29" s="114"/>
    </row>
    <row r="30" spans="1:32" x14ac:dyDescent="0.3">
      <c r="A30" s="115"/>
      <c r="B30" s="107"/>
      <c r="C30" s="107"/>
      <c r="D30" s="108"/>
      <c r="E30" s="108"/>
      <c r="F30" s="107">
        <f t="shared" si="1"/>
        <v>4</v>
      </c>
      <c r="G30" s="107"/>
      <c r="H30" s="107"/>
      <c r="I30" s="107"/>
      <c r="J30" s="107"/>
      <c r="K30" s="107"/>
      <c r="L30" s="107"/>
      <c r="M30" s="107"/>
      <c r="N30" s="107"/>
      <c r="O30" s="113">
        <f t="shared" si="2"/>
        <v>0</v>
      </c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  <c r="AA30" s="107"/>
      <c r="AB30" s="107"/>
      <c r="AC30" s="107"/>
      <c r="AD30" s="107"/>
      <c r="AE30" s="107"/>
      <c r="AF30" s="114"/>
    </row>
    <row r="31" spans="1:32" x14ac:dyDescent="0.3">
      <c r="A31" s="115"/>
      <c r="B31" s="107"/>
      <c r="C31" s="107"/>
      <c r="D31" s="108"/>
      <c r="E31" s="108"/>
      <c r="F31" s="107">
        <f t="shared" si="1"/>
        <v>4</v>
      </c>
      <c r="G31" s="107"/>
      <c r="H31" s="107"/>
      <c r="I31" s="107"/>
      <c r="J31" s="107"/>
      <c r="K31" s="107"/>
      <c r="L31" s="107"/>
      <c r="M31" s="107"/>
      <c r="N31" s="107"/>
      <c r="O31" s="113">
        <f t="shared" si="2"/>
        <v>0</v>
      </c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  <c r="AB31" s="107"/>
      <c r="AC31" s="107"/>
      <c r="AD31" s="107"/>
      <c r="AE31" s="107"/>
      <c r="AF31" s="114"/>
    </row>
    <row r="32" spans="1:32" x14ac:dyDescent="0.3">
      <c r="A32" s="115"/>
      <c r="B32" s="107"/>
      <c r="C32" s="107"/>
      <c r="D32" s="108"/>
      <c r="E32" s="108"/>
      <c r="F32" s="107">
        <f t="shared" si="1"/>
        <v>4</v>
      </c>
      <c r="G32" s="107"/>
      <c r="H32" s="107"/>
      <c r="I32" s="107"/>
      <c r="J32" s="107"/>
      <c r="K32" s="107"/>
      <c r="L32" s="107"/>
      <c r="M32" s="107"/>
      <c r="N32" s="107"/>
      <c r="O32" s="113">
        <f t="shared" si="2"/>
        <v>0</v>
      </c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  <c r="AC32" s="107"/>
      <c r="AD32" s="107"/>
      <c r="AE32" s="107"/>
      <c r="AF32" s="114"/>
    </row>
    <row r="33" spans="1:32" x14ac:dyDescent="0.3">
      <c r="A33" s="115"/>
      <c r="B33" s="107"/>
      <c r="C33" s="107"/>
      <c r="D33" s="108"/>
      <c r="E33" s="108"/>
      <c r="F33" s="107">
        <f t="shared" si="1"/>
        <v>4</v>
      </c>
      <c r="G33" s="107"/>
      <c r="H33" s="107"/>
      <c r="I33" s="107"/>
      <c r="J33" s="107"/>
      <c r="K33" s="107"/>
      <c r="L33" s="107"/>
      <c r="M33" s="107"/>
      <c r="N33" s="107"/>
      <c r="O33" s="113">
        <f t="shared" si="2"/>
        <v>0</v>
      </c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  <c r="AB33" s="107"/>
      <c r="AC33" s="107"/>
      <c r="AD33" s="107"/>
      <c r="AE33" s="107"/>
      <c r="AF33" s="114"/>
    </row>
    <row r="34" spans="1:32" x14ac:dyDescent="0.3">
      <c r="A34" s="115"/>
      <c r="B34" s="107"/>
      <c r="C34" s="107"/>
      <c r="D34" s="108"/>
      <c r="E34" s="108"/>
      <c r="F34" s="107">
        <f t="shared" si="1"/>
        <v>4</v>
      </c>
      <c r="G34" s="107"/>
      <c r="H34" s="107"/>
      <c r="I34" s="107"/>
      <c r="J34" s="107"/>
      <c r="K34" s="107"/>
      <c r="L34" s="107"/>
      <c r="M34" s="107"/>
      <c r="N34" s="107"/>
      <c r="O34" s="113">
        <f t="shared" si="2"/>
        <v>0</v>
      </c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07"/>
      <c r="AD34" s="107"/>
      <c r="AE34" s="107"/>
      <c r="AF34" s="114"/>
    </row>
    <row r="35" spans="1:32" x14ac:dyDescent="0.3">
      <c r="A35" s="115"/>
      <c r="B35" s="107"/>
      <c r="C35" s="107"/>
      <c r="D35" s="108"/>
      <c r="E35" s="108"/>
      <c r="F35" s="107">
        <f t="shared" si="1"/>
        <v>4</v>
      </c>
      <c r="G35" s="107"/>
      <c r="H35" s="107"/>
      <c r="I35" s="107"/>
      <c r="J35" s="107"/>
      <c r="K35" s="107"/>
      <c r="L35" s="107"/>
      <c r="M35" s="107"/>
      <c r="N35" s="107"/>
      <c r="O35" s="113">
        <f t="shared" si="2"/>
        <v>0</v>
      </c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14"/>
    </row>
    <row r="36" spans="1:32" x14ac:dyDescent="0.3">
      <c r="A36" s="115"/>
      <c r="B36" s="107"/>
      <c r="C36" s="107"/>
      <c r="D36" s="108"/>
      <c r="E36" s="108"/>
      <c r="F36" s="107">
        <f t="shared" si="1"/>
        <v>4</v>
      </c>
      <c r="G36" s="107"/>
      <c r="H36" s="107"/>
      <c r="I36" s="107"/>
      <c r="J36" s="107"/>
      <c r="K36" s="107"/>
      <c r="L36" s="107"/>
      <c r="M36" s="107"/>
      <c r="N36" s="107"/>
      <c r="O36" s="113">
        <f t="shared" si="2"/>
        <v>0</v>
      </c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107"/>
      <c r="AA36" s="107"/>
      <c r="AB36" s="107"/>
      <c r="AC36" s="107"/>
      <c r="AD36" s="107"/>
      <c r="AE36" s="107"/>
      <c r="AF36" s="114"/>
    </row>
    <row r="37" spans="1:32" x14ac:dyDescent="0.3">
      <c r="A37" s="115"/>
      <c r="B37" s="107"/>
      <c r="C37" s="107"/>
      <c r="D37" s="108"/>
      <c r="E37" s="108"/>
      <c r="F37" s="107">
        <f t="shared" si="1"/>
        <v>4</v>
      </c>
      <c r="G37" s="107"/>
      <c r="H37" s="107"/>
      <c r="I37" s="107"/>
      <c r="J37" s="107"/>
      <c r="K37" s="107"/>
      <c r="L37" s="107"/>
      <c r="M37" s="107"/>
      <c r="N37" s="107"/>
      <c r="O37" s="113">
        <f t="shared" si="2"/>
        <v>0</v>
      </c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107"/>
      <c r="AA37" s="107"/>
      <c r="AB37" s="107"/>
      <c r="AC37" s="107"/>
      <c r="AD37" s="107"/>
      <c r="AE37" s="107"/>
      <c r="AF37" s="114"/>
    </row>
    <row r="38" spans="1:32" x14ac:dyDescent="0.3">
      <c r="A38" s="115"/>
      <c r="B38" s="107"/>
      <c r="C38" s="107"/>
      <c r="D38" s="108"/>
      <c r="E38" s="108"/>
      <c r="F38" s="107">
        <f t="shared" si="1"/>
        <v>4</v>
      </c>
      <c r="G38" s="107"/>
      <c r="H38" s="107"/>
      <c r="I38" s="107"/>
      <c r="J38" s="107"/>
      <c r="K38" s="107"/>
      <c r="L38" s="107"/>
      <c r="M38" s="107"/>
      <c r="N38" s="107"/>
      <c r="O38" s="113">
        <f t="shared" si="2"/>
        <v>0</v>
      </c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107"/>
      <c r="AA38" s="107"/>
      <c r="AB38" s="107"/>
      <c r="AC38" s="107"/>
      <c r="AD38" s="107"/>
      <c r="AE38" s="107"/>
      <c r="AF38" s="114"/>
    </row>
    <row r="39" spans="1:32" x14ac:dyDescent="0.3">
      <c r="A39" s="115"/>
      <c r="B39" s="107"/>
      <c r="C39" s="107"/>
      <c r="D39" s="108"/>
      <c r="E39" s="108"/>
      <c r="F39" s="107">
        <f t="shared" si="1"/>
        <v>4</v>
      </c>
      <c r="G39" s="107"/>
      <c r="H39" s="107"/>
      <c r="I39" s="107"/>
      <c r="J39" s="107"/>
      <c r="K39" s="107"/>
      <c r="L39" s="107"/>
      <c r="M39" s="107"/>
      <c r="N39" s="107"/>
      <c r="O39" s="113">
        <f t="shared" si="2"/>
        <v>0</v>
      </c>
      <c r="P39" s="107"/>
      <c r="Q39" s="107"/>
      <c r="R39" s="107"/>
      <c r="S39" s="107"/>
      <c r="T39" s="107"/>
      <c r="U39" s="107"/>
      <c r="V39" s="107"/>
      <c r="W39" s="107"/>
      <c r="X39" s="107"/>
      <c r="Y39" s="107"/>
      <c r="Z39" s="107"/>
      <c r="AA39" s="107"/>
      <c r="AB39" s="107"/>
      <c r="AC39" s="107"/>
      <c r="AD39" s="107"/>
      <c r="AE39" s="107"/>
      <c r="AF39" s="114"/>
    </row>
    <row r="40" spans="1:32" x14ac:dyDescent="0.3">
      <c r="A40" s="115"/>
      <c r="B40" s="107"/>
      <c r="C40" s="107"/>
      <c r="D40" s="108"/>
      <c r="E40" s="108"/>
      <c r="F40" s="107">
        <f t="shared" si="1"/>
        <v>4</v>
      </c>
      <c r="G40" s="107"/>
      <c r="H40" s="107"/>
      <c r="I40" s="107"/>
      <c r="J40" s="107"/>
      <c r="K40" s="107"/>
      <c r="L40" s="107"/>
      <c r="M40" s="107"/>
      <c r="N40" s="107"/>
      <c r="O40" s="113">
        <f t="shared" si="2"/>
        <v>0</v>
      </c>
      <c r="P40" s="107"/>
      <c r="Q40" s="107"/>
      <c r="R40" s="107"/>
      <c r="S40" s="107"/>
      <c r="T40" s="107"/>
      <c r="U40" s="107"/>
      <c r="V40" s="107"/>
      <c r="W40" s="107"/>
      <c r="X40" s="107"/>
      <c r="Y40" s="107"/>
      <c r="Z40" s="107"/>
      <c r="AA40" s="107"/>
      <c r="AB40" s="107"/>
      <c r="AC40" s="107"/>
      <c r="AD40" s="107"/>
      <c r="AE40" s="107"/>
      <c r="AF40" s="114"/>
    </row>
    <row r="41" spans="1:32" x14ac:dyDescent="0.3">
      <c r="A41" s="115"/>
      <c r="B41" s="107"/>
      <c r="C41" s="107"/>
      <c r="D41" s="108"/>
      <c r="E41" s="108"/>
      <c r="F41" s="107">
        <f t="shared" si="1"/>
        <v>4</v>
      </c>
      <c r="G41" s="107"/>
      <c r="H41" s="107"/>
      <c r="I41" s="107"/>
      <c r="J41" s="107"/>
      <c r="K41" s="107"/>
      <c r="L41" s="107"/>
      <c r="M41" s="107"/>
      <c r="N41" s="107"/>
      <c r="O41" s="113">
        <f t="shared" si="2"/>
        <v>0</v>
      </c>
      <c r="P41" s="107"/>
      <c r="Q41" s="107"/>
      <c r="R41" s="107"/>
      <c r="S41" s="107"/>
      <c r="T41" s="107"/>
      <c r="U41" s="107"/>
      <c r="V41" s="107"/>
      <c r="W41" s="107"/>
      <c r="X41" s="107"/>
      <c r="Y41" s="107"/>
      <c r="Z41" s="107"/>
      <c r="AA41" s="107"/>
      <c r="AB41" s="107"/>
      <c r="AC41" s="107"/>
      <c r="AD41" s="107"/>
      <c r="AE41" s="107"/>
      <c r="AF41" s="114"/>
    </row>
    <row r="42" spans="1:32" x14ac:dyDescent="0.3">
      <c r="A42" s="115"/>
      <c r="B42" s="107"/>
      <c r="C42" s="107"/>
      <c r="D42" s="108"/>
      <c r="E42" s="108"/>
      <c r="F42" s="107">
        <f t="shared" si="1"/>
        <v>4</v>
      </c>
      <c r="G42" s="107"/>
      <c r="H42" s="107"/>
      <c r="I42" s="107"/>
      <c r="J42" s="107"/>
      <c r="K42" s="107"/>
      <c r="L42" s="107"/>
      <c r="M42" s="107"/>
      <c r="N42" s="107"/>
      <c r="O42" s="113">
        <f t="shared" si="2"/>
        <v>0</v>
      </c>
      <c r="P42" s="107"/>
      <c r="Q42" s="107"/>
      <c r="R42" s="107"/>
      <c r="S42" s="107"/>
      <c r="T42" s="107"/>
      <c r="U42" s="107"/>
      <c r="V42" s="107"/>
      <c r="W42" s="107"/>
      <c r="X42" s="107"/>
      <c r="Y42" s="107"/>
      <c r="Z42" s="107"/>
      <c r="AA42" s="107"/>
      <c r="AB42" s="107"/>
      <c r="AC42" s="107"/>
      <c r="AD42" s="107"/>
      <c r="AE42" s="107"/>
      <c r="AF42" s="114"/>
    </row>
    <row r="43" spans="1:32" x14ac:dyDescent="0.3">
      <c r="A43" s="115"/>
      <c r="B43" s="107"/>
      <c r="C43" s="107"/>
      <c r="D43" s="108"/>
      <c r="E43" s="108"/>
      <c r="F43" s="107">
        <f t="shared" si="1"/>
        <v>4</v>
      </c>
      <c r="G43" s="107"/>
      <c r="H43" s="107"/>
      <c r="I43" s="107"/>
      <c r="J43" s="107"/>
      <c r="K43" s="107"/>
      <c r="L43" s="107"/>
      <c r="M43" s="107"/>
      <c r="N43" s="107"/>
      <c r="O43" s="113">
        <f t="shared" si="2"/>
        <v>0</v>
      </c>
      <c r="P43" s="107"/>
      <c r="Q43" s="107"/>
      <c r="R43" s="107"/>
      <c r="S43" s="107"/>
      <c r="T43" s="107"/>
      <c r="U43" s="107"/>
      <c r="V43" s="107"/>
      <c r="W43" s="107"/>
      <c r="X43" s="107"/>
      <c r="Y43" s="107"/>
      <c r="Z43" s="107"/>
      <c r="AA43" s="107"/>
      <c r="AB43" s="107"/>
      <c r="AC43" s="107"/>
      <c r="AD43" s="107"/>
      <c r="AE43" s="107"/>
      <c r="AF43" s="114"/>
    </row>
    <row r="44" spans="1:32" x14ac:dyDescent="0.3">
      <c r="A44" s="115"/>
      <c r="B44" s="107"/>
      <c r="C44" s="107"/>
      <c r="D44" s="108"/>
      <c r="E44" s="108"/>
      <c r="F44" s="107">
        <f t="shared" si="1"/>
        <v>4</v>
      </c>
      <c r="G44" s="107"/>
      <c r="H44" s="107"/>
      <c r="I44" s="107"/>
      <c r="J44" s="107"/>
      <c r="K44" s="107"/>
      <c r="L44" s="107"/>
      <c r="M44" s="107"/>
      <c r="N44" s="107"/>
      <c r="O44" s="113">
        <f t="shared" si="2"/>
        <v>0</v>
      </c>
      <c r="P44" s="107"/>
      <c r="Q44" s="107"/>
      <c r="R44" s="107"/>
      <c r="S44" s="107"/>
      <c r="T44" s="107"/>
      <c r="U44" s="107"/>
      <c r="V44" s="107"/>
      <c r="W44" s="107"/>
      <c r="X44" s="107"/>
      <c r="Y44" s="107"/>
      <c r="Z44" s="107"/>
      <c r="AA44" s="107"/>
      <c r="AB44" s="107"/>
      <c r="AC44" s="107"/>
      <c r="AD44" s="107"/>
      <c r="AE44" s="107"/>
      <c r="AF44" s="114"/>
    </row>
    <row r="45" spans="1:32" x14ac:dyDescent="0.3">
      <c r="A45" s="115"/>
      <c r="B45" s="107"/>
      <c r="C45" s="107"/>
      <c r="D45" s="108"/>
      <c r="E45" s="108"/>
      <c r="F45" s="107">
        <f t="shared" si="1"/>
        <v>4</v>
      </c>
      <c r="G45" s="107"/>
      <c r="H45" s="107"/>
      <c r="I45" s="107"/>
      <c r="J45" s="107"/>
      <c r="K45" s="107"/>
      <c r="L45" s="107"/>
      <c r="M45" s="107"/>
      <c r="N45" s="107"/>
      <c r="O45" s="113">
        <f t="shared" si="2"/>
        <v>0</v>
      </c>
      <c r="P45" s="107"/>
      <c r="Q45" s="107"/>
      <c r="R45" s="107"/>
      <c r="S45" s="107"/>
      <c r="T45" s="107"/>
      <c r="U45" s="107"/>
      <c r="V45" s="107"/>
      <c r="W45" s="107"/>
      <c r="X45" s="107"/>
      <c r="Y45" s="107"/>
      <c r="Z45" s="107"/>
      <c r="AA45" s="107"/>
      <c r="AB45" s="107"/>
      <c r="AC45" s="107"/>
      <c r="AD45" s="107"/>
      <c r="AE45" s="107"/>
      <c r="AF45" s="114"/>
    </row>
    <row r="46" spans="1:32" ht="15.75" customHeight="1" x14ac:dyDescent="0.3">
      <c r="A46" s="116"/>
      <c r="B46" s="117"/>
      <c r="C46" s="117"/>
      <c r="D46" s="117"/>
      <c r="E46" s="108"/>
      <c r="F46" s="117">
        <f t="shared" si="1"/>
        <v>4</v>
      </c>
      <c r="G46" s="117"/>
      <c r="H46" s="117"/>
      <c r="I46" s="117"/>
      <c r="J46" s="117"/>
      <c r="K46" s="117"/>
      <c r="L46" s="117"/>
      <c r="M46" s="117"/>
      <c r="N46" s="117"/>
      <c r="O46" s="118">
        <f t="shared" si="2"/>
        <v>0</v>
      </c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  <c r="AA46" s="117"/>
      <c r="AB46" s="117"/>
      <c r="AC46" s="117"/>
      <c r="AD46" s="117"/>
      <c r="AE46" s="117"/>
      <c r="AF46" s="119"/>
    </row>
  </sheetData>
  <mergeCells count="13">
    <mergeCell ref="C3:D3"/>
    <mergeCell ref="G3:I3"/>
    <mergeCell ref="A4:B5"/>
    <mergeCell ref="C4:D4"/>
    <mergeCell ref="G4:I4"/>
    <mergeCell ref="C5:D5"/>
    <mergeCell ref="G5:I5"/>
    <mergeCell ref="A1:B1"/>
    <mergeCell ref="C1:F1"/>
    <mergeCell ref="G1:J1"/>
    <mergeCell ref="K1:L1"/>
    <mergeCell ref="C2:D2"/>
    <mergeCell ref="G2:I2"/>
  </mergeCells>
  <dataValidations count="3">
    <dataValidation type="list" allowBlank="1" showInputMessage="1" showErrorMessage="1" sqref="J7:J46 Q7:Q46" xr:uid="{00000000-0002-0000-0400-000000000000}">
      <formula1>"Yes,No"</formula1>
      <formula2>0</formula2>
    </dataValidation>
    <dataValidation type="list" allowBlank="1" showInputMessage="1" showErrorMessage="1" sqref="D7:D46" xr:uid="{00000000-0002-0000-0400-000002000000}">
      <formula1>"HL,LAP,BL,PL,CV,AL,Agri,KCC,OD,GECL,Term Loan"</formula1>
      <formula2>0</formula2>
    </dataValidation>
    <dataValidation type="list" allowBlank="1" showInputMessage="1" showErrorMessage="1" sqref="E7:E46" xr:uid="{00000000-0002-0000-0400-000003000000}">
      <formula1>"Live,Closed,To be closed in 12 months,To be closed in 6 months,Proposed BT,To be closed from Sivels Finance,Personal Obligation not considered"</formula1>
      <formula2>0</formula2>
    </dataValidation>
  </dataValidations>
  <pageMargins left="0.2" right="0.2" top="0.2" bottom="0.2" header="0.511811023622047" footer="0.1"/>
  <pageSetup fitToHeight="2" orientation="landscape" horizontalDpi="300" verticalDpi="300"/>
  <headerFooter>
    <oddFooter>&amp;C&amp;F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E75B6"/>
  </sheetPr>
  <dimension ref="A2:XFC156"/>
  <sheetViews>
    <sheetView topLeftCell="A3" zoomScale="98" zoomScaleNormal="98" workbookViewId="0">
      <pane ySplit="3" topLeftCell="A4" activePane="bottomLeft" state="frozen"/>
      <selection activeCell="A3" sqref="A3"/>
      <selection pane="bottomLeft" activeCell="M29" sqref="M29:M30"/>
    </sheetView>
  </sheetViews>
  <sheetFormatPr defaultColWidth="8.6640625" defaultRowHeight="14.4" x14ac:dyDescent="0.3"/>
  <cols>
    <col min="1" max="1" width="15.5546875" customWidth="1"/>
    <col min="2" max="2" width="15.6640625" customWidth="1"/>
    <col min="3" max="3" width="17.44140625" customWidth="1"/>
    <col min="4" max="4" width="11.5546875" customWidth="1"/>
    <col min="5" max="5" width="13.44140625" customWidth="1"/>
    <col min="6" max="7" width="14.33203125" customWidth="1"/>
    <col min="8" max="8" width="13.33203125" customWidth="1"/>
    <col min="9" max="9" width="10.44140625" customWidth="1"/>
    <col min="10" max="10" width="11.33203125" customWidth="1"/>
    <col min="11" max="11" width="11.109375" customWidth="1"/>
    <col min="12" max="12" width="11.33203125" customWidth="1"/>
    <col min="13" max="13" width="10.44140625" customWidth="1"/>
    <col min="15" max="25" width="13" hidden="1" customWidth="1"/>
    <col min="16383" max="16383" width="9" customWidth="1"/>
    <col min="16384" max="16384" width="5.88671875" hidden="1" customWidth="1"/>
  </cols>
  <sheetData>
    <row r="2" spans="1:24" x14ac:dyDescent="0.3">
      <c r="A2" s="372" t="s">
        <v>203</v>
      </c>
      <c r="B2" s="372"/>
      <c r="C2" s="372"/>
      <c r="D2" s="372"/>
      <c r="E2" s="372"/>
      <c r="F2" s="372"/>
      <c r="G2" s="372"/>
      <c r="H2" s="372"/>
      <c r="I2" s="372"/>
      <c r="J2" s="372"/>
      <c r="K2" s="372"/>
      <c r="L2" s="372"/>
      <c r="M2" s="372"/>
    </row>
    <row r="3" spans="1:24" ht="60" customHeight="1" x14ac:dyDescent="0.3">
      <c r="A3" s="120" t="s">
        <v>204</v>
      </c>
      <c r="B3" s="120" t="s">
        <v>205</v>
      </c>
      <c r="C3" s="120" t="s">
        <v>206</v>
      </c>
      <c r="D3" s="60" t="s">
        <v>207</v>
      </c>
      <c r="E3" s="120" t="s">
        <v>208</v>
      </c>
      <c r="F3" s="120" t="s">
        <v>209</v>
      </c>
      <c r="G3" s="120" t="s">
        <v>210</v>
      </c>
      <c r="H3" s="120" t="s">
        <v>211</v>
      </c>
      <c r="I3" s="373" t="s">
        <v>212</v>
      </c>
      <c r="J3" s="373"/>
      <c r="K3" s="373"/>
      <c r="L3" s="373"/>
      <c r="M3" s="373"/>
    </row>
    <row r="4" spans="1:24" ht="28.5" customHeight="1" x14ac:dyDescent="0.3">
      <c r="A4" s="121">
        <v>1</v>
      </c>
      <c r="B4" s="121" t="str">
        <f t="shared" ref="B4:B11" si="0">IFERROR(VLOOKUP(A4,$Q$14:$X$140,2,0)," ")</f>
        <v xml:space="preserve"> </v>
      </c>
      <c r="C4" s="122" t="str">
        <f t="shared" ref="C4:C11" si="1">IFERROR(VLOOKUP(A4,$Q$14:$X$140,3,0)," ")</f>
        <v xml:space="preserve"> </v>
      </c>
      <c r="D4" s="123" t="str">
        <f t="shared" ref="D4:D11" si="2">IFERROR(VLOOKUP(A4,$Q$14:$X$140,4,0)," ")</f>
        <v xml:space="preserve"> </v>
      </c>
      <c r="E4" s="124" t="str">
        <f t="shared" ref="E4:E11" si="3">IFERROR(VLOOKUP(A4,$Q$14:$X$140,5,0)," ")</f>
        <v xml:space="preserve"> </v>
      </c>
      <c r="F4" s="125" t="str">
        <f t="shared" ref="F4:F11" si="4">IFERROR(VLOOKUP(A4,$Q$14:$X$140,6,0)," ")</f>
        <v xml:space="preserve"> </v>
      </c>
      <c r="G4" s="125" t="str">
        <f t="shared" ref="G4:G11" si="5">IFERROR(VLOOKUP(A4,$Q$14:$X$140,7,0)," ")</f>
        <v xml:space="preserve"> </v>
      </c>
      <c r="H4" s="123" t="str">
        <f t="shared" ref="H4:H11" si="6">IFERROR(VLOOKUP(A4,$Q$14:$X$140,8,0)," ")</f>
        <v xml:space="preserve"> </v>
      </c>
      <c r="I4" s="374"/>
      <c r="J4" s="374"/>
      <c r="K4" s="374"/>
      <c r="L4" s="374"/>
      <c r="M4" s="374"/>
    </row>
    <row r="5" spans="1:24" ht="28.5" customHeight="1" x14ac:dyDescent="0.3">
      <c r="A5" s="121">
        <v>2</v>
      </c>
      <c r="B5" s="121" t="str">
        <f t="shared" si="0"/>
        <v xml:space="preserve"> </v>
      </c>
      <c r="C5" s="122" t="str">
        <f t="shared" si="1"/>
        <v xml:space="preserve"> </v>
      </c>
      <c r="D5" s="123" t="str">
        <f t="shared" si="2"/>
        <v xml:space="preserve"> </v>
      </c>
      <c r="E5" s="124" t="str">
        <f t="shared" si="3"/>
        <v xml:space="preserve"> </v>
      </c>
      <c r="F5" s="125" t="str">
        <f t="shared" si="4"/>
        <v xml:space="preserve"> </v>
      </c>
      <c r="G5" s="125" t="str">
        <f t="shared" si="5"/>
        <v xml:space="preserve"> </v>
      </c>
      <c r="H5" s="123" t="str">
        <f t="shared" si="6"/>
        <v xml:space="preserve"> </v>
      </c>
      <c r="I5" s="374"/>
      <c r="J5" s="374"/>
      <c r="K5" s="374"/>
      <c r="L5" s="374"/>
      <c r="M5" s="374"/>
    </row>
    <row r="6" spans="1:24" ht="28.5" customHeight="1" x14ac:dyDescent="0.3">
      <c r="A6" s="121">
        <v>3</v>
      </c>
      <c r="B6" s="121" t="str">
        <f t="shared" si="0"/>
        <v xml:space="preserve"> </v>
      </c>
      <c r="C6" s="122" t="str">
        <f t="shared" si="1"/>
        <v xml:space="preserve"> </v>
      </c>
      <c r="D6" s="123" t="str">
        <f t="shared" si="2"/>
        <v xml:space="preserve"> </v>
      </c>
      <c r="E6" s="124" t="str">
        <f t="shared" si="3"/>
        <v xml:space="preserve"> </v>
      </c>
      <c r="F6" s="125" t="str">
        <f t="shared" si="4"/>
        <v xml:space="preserve"> </v>
      </c>
      <c r="G6" s="125" t="str">
        <f t="shared" si="5"/>
        <v xml:space="preserve"> </v>
      </c>
      <c r="H6" s="123" t="str">
        <f t="shared" si="6"/>
        <v xml:space="preserve"> </v>
      </c>
      <c r="I6" s="374"/>
      <c r="J6" s="374"/>
      <c r="K6" s="374"/>
      <c r="L6" s="374"/>
      <c r="M6" s="374"/>
    </row>
    <row r="7" spans="1:24" ht="28.5" hidden="1" customHeight="1" x14ac:dyDescent="0.3">
      <c r="A7" s="121">
        <v>4</v>
      </c>
      <c r="B7" s="121" t="str">
        <f t="shared" si="0"/>
        <v xml:space="preserve"> </v>
      </c>
      <c r="C7" s="122" t="str">
        <f t="shared" si="1"/>
        <v xml:space="preserve"> </v>
      </c>
      <c r="D7" s="123" t="str">
        <f t="shared" si="2"/>
        <v xml:space="preserve"> </v>
      </c>
      <c r="E7" s="124" t="str">
        <f t="shared" si="3"/>
        <v xml:space="preserve"> </v>
      </c>
      <c r="F7" s="125" t="str">
        <f t="shared" si="4"/>
        <v xml:space="preserve"> </v>
      </c>
      <c r="G7" s="125" t="str">
        <f t="shared" si="5"/>
        <v xml:space="preserve"> </v>
      </c>
      <c r="H7" s="123" t="str">
        <f t="shared" si="6"/>
        <v xml:space="preserve"> </v>
      </c>
      <c r="I7" s="374"/>
      <c r="J7" s="374"/>
      <c r="K7" s="374"/>
      <c r="L7" s="374"/>
      <c r="M7" s="374"/>
    </row>
    <row r="8" spans="1:24" ht="28.5" hidden="1" customHeight="1" x14ac:dyDescent="0.3">
      <c r="A8" s="121">
        <v>5</v>
      </c>
      <c r="B8" s="121" t="str">
        <f t="shared" si="0"/>
        <v xml:space="preserve"> </v>
      </c>
      <c r="C8" s="122" t="str">
        <f t="shared" si="1"/>
        <v xml:space="preserve"> </v>
      </c>
      <c r="D8" s="123" t="str">
        <f t="shared" si="2"/>
        <v xml:space="preserve"> </v>
      </c>
      <c r="E8" s="124" t="str">
        <f t="shared" si="3"/>
        <v xml:space="preserve"> </v>
      </c>
      <c r="F8" s="125" t="str">
        <f t="shared" si="4"/>
        <v xml:space="preserve"> </v>
      </c>
      <c r="G8" s="125" t="str">
        <f t="shared" si="5"/>
        <v xml:space="preserve"> </v>
      </c>
      <c r="H8" s="123" t="str">
        <f t="shared" si="6"/>
        <v xml:space="preserve"> </v>
      </c>
      <c r="I8" s="374"/>
      <c r="J8" s="374"/>
      <c r="K8" s="374"/>
      <c r="L8" s="374"/>
      <c r="M8" s="374"/>
    </row>
    <row r="9" spans="1:24" ht="28.5" hidden="1" customHeight="1" x14ac:dyDescent="0.3">
      <c r="A9" s="121">
        <v>6</v>
      </c>
      <c r="B9" s="121" t="str">
        <f t="shared" si="0"/>
        <v xml:space="preserve"> </v>
      </c>
      <c r="C9" s="122" t="str">
        <f t="shared" si="1"/>
        <v xml:space="preserve"> </v>
      </c>
      <c r="D9" s="123" t="str">
        <f t="shared" si="2"/>
        <v xml:space="preserve"> </v>
      </c>
      <c r="E9" s="124" t="str">
        <f t="shared" si="3"/>
        <v xml:space="preserve"> </v>
      </c>
      <c r="F9" s="125" t="str">
        <f t="shared" si="4"/>
        <v xml:space="preserve"> </v>
      </c>
      <c r="G9" s="125" t="str">
        <f t="shared" si="5"/>
        <v xml:space="preserve"> </v>
      </c>
      <c r="H9" s="123" t="str">
        <f t="shared" si="6"/>
        <v xml:space="preserve"> </v>
      </c>
      <c r="I9" s="374"/>
      <c r="J9" s="374"/>
      <c r="K9" s="374"/>
      <c r="L9" s="374"/>
      <c r="M9" s="374"/>
    </row>
    <row r="10" spans="1:24" ht="28.5" hidden="1" customHeight="1" x14ac:dyDescent="0.3">
      <c r="A10" s="121">
        <v>7</v>
      </c>
      <c r="B10" s="121" t="str">
        <f t="shared" si="0"/>
        <v xml:space="preserve"> </v>
      </c>
      <c r="C10" s="122" t="str">
        <f t="shared" si="1"/>
        <v xml:space="preserve"> </v>
      </c>
      <c r="D10" s="123" t="str">
        <f t="shared" si="2"/>
        <v xml:space="preserve"> </v>
      </c>
      <c r="E10" s="124" t="str">
        <f t="shared" si="3"/>
        <v xml:space="preserve"> </v>
      </c>
      <c r="F10" s="125" t="str">
        <f t="shared" si="4"/>
        <v xml:space="preserve"> </v>
      </c>
      <c r="G10" s="125" t="str">
        <f t="shared" si="5"/>
        <v xml:space="preserve"> </v>
      </c>
      <c r="H10" s="123" t="str">
        <f t="shared" si="6"/>
        <v xml:space="preserve"> </v>
      </c>
      <c r="I10" s="374"/>
      <c r="J10" s="374"/>
      <c r="K10" s="374"/>
      <c r="L10" s="374"/>
      <c r="M10" s="374"/>
    </row>
    <row r="11" spans="1:24" ht="28.5" hidden="1" customHeight="1" x14ac:dyDescent="0.3">
      <c r="A11" s="121">
        <v>8</v>
      </c>
      <c r="B11" s="121" t="str">
        <f t="shared" si="0"/>
        <v xml:space="preserve"> </v>
      </c>
      <c r="C11" s="122" t="str">
        <f t="shared" si="1"/>
        <v xml:space="preserve"> </v>
      </c>
      <c r="D11" s="123" t="str">
        <f t="shared" si="2"/>
        <v xml:space="preserve"> </v>
      </c>
      <c r="E11" s="124" t="str">
        <f t="shared" si="3"/>
        <v xml:space="preserve"> </v>
      </c>
      <c r="F11" s="125" t="str">
        <f t="shared" si="4"/>
        <v xml:space="preserve"> </v>
      </c>
      <c r="G11" s="125" t="str">
        <f t="shared" si="5"/>
        <v xml:space="preserve"> </v>
      </c>
      <c r="H11" s="123" t="str">
        <f t="shared" si="6"/>
        <v xml:space="preserve"> </v>
      </c>
      <c r="I11" s="374"/>
      <c r="J11" s="374"/>
      <c r="K11" s="374"/>
      <c r="L11" s="374"/>
      <c r="M11" s="374"/>
    </row>
    <row r="12" spans="1:24" x14ac:dyDescent="0.3">
      <c r="A12" s="373" t="s">
        <v>168</v>
      </c>
      <c r="B12" s="373"/>
      <c r="C12" s="373"/>
      <c r="D12" s="126">
        <f>SUM(D4:D11)</f>
        <v>0</v>
      </c>
      <c r="E12" s="126">
        <f>SUM(E4:E11)</f>
        <v>0</v>
      </c>
      <c r="F12" s="127" t="e">
        <f>(G29+G47+G65+G83+G101+G119+G137+G155)/(E119+E101+E83+E65+E47+E29+E155+E137)</f>
        <v>#DIV/0!</v>
      </c>
      <c r="G12" s="127" t="e">
        <f>(H29+H47+H65+H83+H101+H119+H137+H155)/(F119+F101+F83+F65+F47+F29+F155+F137)</f>
        <v>#DIV/0!</v>
      </c>
      <c r="H12" s="126" t="e">
        <f>E12/'RTR '!J5</f>
        <v>#NUM!</v>
      </c>
      <c r="I12" s="375" t="s">
        <v>113</v>
      </c>
      <c r="J12" s="375"/>
      <c r="K12" s="375"/>
      <c r="L12" s="375"/>
      <c r="M12" s="128" t="e">
        <f>(D12)/'Consolidated Fin'!D5</f>
        <v>#DIV/0!</v>
      </c>
    </row>
    <row r="14" spans="1:24" x14ac:dyDescent="0.3">
      <c r="A14" s="129" t="s">
        <v>213</v>
      </c>
      <c r="B14" s="376"/>
      <c r="C14" s="376"/>
      <c r="D14" s="377" t="s">
        <v>214</v>
      </c>
      <c r="E14" s="377"/>
      <c r="F14" s="376"/>
      <c r="G14" s="376"/>
      <c r="H14" s="129" t="s">
        <v>215</v>
      </c>
      <c r="I14" s="378"/>
      <c r="J14" s="378"/>
      <c r="K14" s="129" t="s">
        <v>216</v>
      </c>
      <c r="L14" s="376"/>
      <c r="M14" s="376"/>
      <c r="O14">
        <f>IF(F14=0,0,1)</f>
        <v>0</v>
      </c>
      <c r="P14">
        <f>O14</f>
        <v>0</v>
      </c>
      <c r="Q14">
        <f>IF(O14&gt;0,P14,0)</f>
        <v>0</v>
      </c>
      <c r="R14">
        <f>F14</f>
        <v>0</v>
      </c>
      <c r="S14">
        <f>I14</f>
        <v>0</v>
      </c>
      <c r="T14" s="131">
        <f>B30</f>
        <v>0</v>
      </c>
      <c r="U14" s="131">
        <f>L29</f>
        <v>0</v>
      </c>
      <c r="V14" s="132">
        <f>G30</f>
        <v>0</v>
      </c>
      <c r="W14" s="132">
        <f>H30</f>
        <v>0</v>
      </c>
      <c r="X14" s="131" t="e">
        <f>M29</f>
        <v>#NUM!</v>
      </c>
    </row>
    <row r="15" spans="1:24" ht="15" customHeight="1" x14ac:dyDescent="0.3">
      <c r="A15" s="133" t="s">
        <v>217</v>
      </c>
      <c r="B15" s="379" t="s">
        <v>218</v>
      </c>
      <c r="C15" s="379"/>
      <c r="D15" s="379"/>
      <c r="E15" s="380" t="s">
        <v>219</v>
      </c>
      <c r="F15" s="380"/>
      <c r="G15" s="379" t="s">
        <v>220</v>
      </c>
      <c r="H15" s="379"/>
      <c r="I15" s="381" t="s">
        <v>221</v>
      </c>
      <c r="J15" s="381"/>
      <c r="K15" s="381"/>
      <c r="L15" s="382" t="s">
        <v>222</v>
      </c>
      <c r="M15" s="382" t="s">
        <v>211</v>
      </c>
    </row>
    <row r="16" spans="1:24" ht="45" customHeight="1" x14ac:dyDescent="0.3">
      <c r="A16" s="134" t="s">
        <v>223</v>
      </c>
      <c r="B16" s="134" t="s">
        <v>224</v>
      </c>
      <c r="C16" s="134" t="s">
        <v>225</v>
      </c>
      <c r="D16" s="134" t="s">
        <v>226</v>
      </c>
      <c r="E16" s="134" t="s">
        <v>227</v>
      </c>
      <c r="F16" s="134" t="s">
        <v>228</v>
      </c>
      <c r="G16" s="134" t="s">
        <v>229</v>
      </c>
      <c r="H16" s="134" t="s">
        <v>230</v>
      </c>
      <c r="I16" s="134" t="s">
        <v>231</v>
      </c>
      <c r="J16" s="134" t="s">
        <v>232</v>
      </c>
      <c r="K16" s="134" t="s">
        <v>233</v>
      </c>
      <c r="L16" s="382"/>
      <c r="M16" s="382"/>
    </row>
    <row r="17" spans="1:24" x14ac:dyDescent="0.3">
      <c r="A17" s="135">
        <v>46134</v>
      </c>
      <c r="B17" s="136"/>
      <c r="C17" s="136"/>
      <c r="D17" s="136"/>
      <c r="E17" s="136"/>
      <c r="F17" s="136"/>
      <c r="G17" s="137"/>
      <c r="H17" s="137"/>
      <c r="I17" s="136"/>
      <c r="J17" s="136"/>
      <c r="K17" s="136"/>
      <c r="L17" s="138">
        <f t="shared" ref="L17:L28" si="7">IFERROR((AVERAGE(I17:K17)),0)</f>
        <v>0</v>
      </c>
      <c r="M17" s="138" t="e">
        <f>(L17)/'RTR '!$J$5</f>
        <v>#NUM!</v>
      </c>
    </row>
    <row r="18" spans="1:24" x14ac:dyDescent="0.3">
      <c r="A18" s="139">
        <f t="shared" ref="A18:A28" si="8">A17-30</f>
        <v>46104</v>
      </c>
      <c r="B18" s="136"/>
      <c r="C18" s="136"/>
      <c r="D18" s="136"/>
      <c r="E18" s="136"/>
      <c r="F18" s="136"/>
      <c r="G18" s="137"/>
      <c r="H18" s="137"/>
      <c r="I18" s="136"/>
      <c r="J18" s="136"/>
      <c r="K18" s="136"/>
      <c r="L18" s="138">
        <f t="shared" si="7"/>
        <v>0</v>
      </c>
      <c r="M18" s="138" t="e">
        <f>(L18)/'RTR '!$J$5</f>
        <v>#NUM!</v>
      </c>
    </row>
    <row r="19" spans="1:24" x14ac:dyDescent="0.3">
      <c r="A19" s="139">
        <f t="shared" si="8"/>
        <v>46074</v>
      </c>
      <c r="B19" s="136"/>
      <c r="C19" s="136"/>
      <c r="D19" s="136"/>
      <c r="E19" s="136"/>
      <c r="F19" s="136"/>
      <c r="G19" s="137"/>
      <c r="H19" s="137"/>
      <c r="I19" s="136"/>
      <c r="J19" s="136"/>
      <c r="K19" s="136"/>
      <c r="L19" s="138">
        <f t="shared" si="7"/>
        <v>0</v>
      </c>
      <c r="M19" s="138" t="e">
        <f>(L19)/'RTR '!$J$5</f>
        <v>#NUM!</v>
      </c>
    </row>
    <row r="20" spans="1:24" x14ac:dyDescent="0.3">
      <c r="A20" s="139">
        <f t="shared" si="8"/>
        <v>46044</v>
      </c>
      <c r="B20" s="136"/>
      <c r="C20" s="136"/>
      <c r="D20" s="136"/>
      <c r="E20" s="136"/>
      <c r="F20" s="136"/>
      <c r="G20" s="137"/>
      <c r="H20" s="137"/>
      <c r="I20" s="136"/>
      <c r="J20" s="136"/>
      <c r="K20" s="136"/>
      <c r="L20" s="138">
        <f t="shared" si="7"/>
        <v>0</v>
      </c>
      <c r="M20" s="138" t="e">
        <f>(L20)/'RTR '!$J$5</f>
        <v>#NUM!</v>
      </c>
    </row>
    <row r="21" spans="1:24" x14ac:dyDescent="0.3">
      <c r="A21" s="139">
        <f t="shared" si="8"/>
        <v>46014</v>
      </c>
      <c r="B21" s="136"/>
      <c r="C21" s="136"/>
      <c r="D21" s="136"/>
      <c r="E21" s="136"/>
      <c r="F21" s="136"/>
      <c r="G21" s="137"/>
      <c r="H21" s="137"/>
      <c r="I21" s="136"/>
      <c r="J21" s="136"/>
      <c r="K21" s="136"/>
      <c r="L21" s="138">
        <f t="shared" si="7"/>
        <v>0</v>
      </c>
      <c r="M21" s="138" t="e">
        <f>(L21)/'RTR '!$J$5</f>
        <v>#NUM!</v>
      </c>
    </row>
    <row r="22" spans="1:24" x14ac:dyDescent="0.3">
      <c r="A22" s="139">
        <f t="shared" si="8"/>
        <v>45984</v>
      </c>
      <c r="B22" s="136"/>
      <c r="C22" s="136"/>
      <c r="D22" s="136"/>
      <c r="E22" s="136"/>
      <c r="F22" s="136"/>
      <c r="G22" s="137"/>
      <c r="H22" s="137"/>
      <c r="I22" s="136"/>
      <c r="J22" s="136"/>
      <c r="K22" s="136"/>
      <c r="L22" s="138">
        <f t="shared" si="7"/>
        <v>0</v>
      </c>
      <c r="M22" s="138" t="e">
        <f>(L22)/'RTR '!$J$5</f>
        <v>#NUM!</v>
      </c>
    </row>
    <row r="23" spans="1:24" x14ac:dyDescent="0.3">
      <c r="A23" s="139">
        <f t="shared" si="8"/>
        <v>45954</v>
      </c>
      <c r="B23" s="136"/>
      <c r="C23" s="136"/>
      <c r="D23" s="136"/>
      <c r="E23" s="136"/>
      <c r="F23" s="136"/>
      <c r="G23" s="137"/>
      <c r="H23" s="137"/>
      <c r="I23" s="136"/>
      <c r="J23" s="136"/>
      <c r="K23" s="136"/>
      <c r="L23" s="138">
        <f t="shared" si="7"/>
        <v>0</v>
      </c>
      <c r="M23" s="138" t="e">
        <f>(L23)/'RTR '!$J$5</f>
        <v>#NUM!</v>
      </c>
    </row>
    <row r="24" spans="1:24" x14ac:dyDescent="0.3">
      <c r="A24" s="139">
        <f t="shared" si="8"/>
        <v>45924</v>
      </c>
      <c r="B24" s="136"/>
      <c r="C24" s="136"/>
      <c r="D24" s="136"/>
      <c r="E24" s="136"/>
      <c r="F24" s="136"/>
      <c r="G24" s="137"/>
      <c r="H24" s="137"/>
      <c r="I24" s="136"/>
      <c r="J24" s="136"/>
      <c r="K24" s="136"/>
      <c r="L24" s="138">
        <f t="shared" si="7"/>
        <v>0</v>
      </c>
      <c r="M24" s="138" t="e">
        <f>(L24)/'RTR '!$J$5</f>
        <v>#NUM!</v>
      </c>
    </row>
    <row r="25" spans="1:24" x14ac:dyDescent="0.3">
      <c r="A25" s="139">
        <f t="shared" si="8"/>
        <v>45894</v>
      </c>
      <c r="B25" s="136"/>
      <c r="C25" s="136"/>
      <c r="D25" s="136"/>
      <c r="E25" s="136"/>
      <c r="F25" s="136"/>
      <c r="G25" s="137"/>
      <c r="H25" s="137"/>
      <c r="I25" s="136"/>
      <c r="J25" s="136"/>
      <c r="K25" s="136"/>
      <c r="L25" s="138">
        <f t="shared" si="7"/>
        <v>0</v>
      </c>
      <c r="M25" s="138" t="e">
        <f>(L25)/'RTR '!$J$5</f>
        <v>#NUM!</v>
      </c>
    </row>
    <row r="26" spans="1:24" x14ac:dyDescent="0.3">
      <c r="A26" s="139">
        <f t="shared" si="8"/>
        <v>45864</v>
      </c>
      <c r="B26" s="136"/>
      <c r="C26" s="136"/>
      <c r="D26" s="136"/>
      <c r="E26" s="136"/>
      <c r="F26" s="136"/>
      <c r="G26" s="137"/>
      <c r="H26" s="137"/>
      <c r="I26" s="136"/>
      <c r="J26" s="136"/>
      <c r="K26" s="136"/>
      <c r="L26" s="138">
        <f t="shared" si="7"/>
        <v>0</v>
      </c>
      <c r="M26" s="138" t="e">
        <f>(L26)/'RTR '!$J$5</f>
        <v>#NUM!</v>
      </c>
    </row>
    <row r="27" spans="1:24" x14ac:dyDescent="0.3">
      <c r="A27" s="139">
        <f t="shared" si="8"/>
        <v>45834</v>
      </c>
      <c r="B27" s="136"/>
      <c r="C27" s="136"/>
      <c r="D27" s="136"/>
      <c r="E27" s="136"/>
      <c r="F27" s="136"/>
      <c r="G27" s="137"/>
      <c r="H27" s="137"/>
      <c r="I27" s="136"/>
      <c r="J27" s="136"/>
      <c r="K27" s="136"/>
      <c r="L27" s="138">
        <f t="shared" si="7"/>
        <v>0</v>
      </c>
      <c r="M27" s="138" t="e">
        <f>(L27)/'RTR '!$J$5</f>
        <v>#NUM!</v>
      </c>
    </row>
    <row r="28" spans="1:24" x14ac:dyDescent="0.3">
      <c r="A28" s="139">
        <f t="shared" si="8"/>
        <v>45804</v>
      </c>
      <c r="B28" s="136"/>
      <c r="C28" s="136"/>
      <c r="D28" s="136"/>
      <c r="E28" s="136"/>
      <c r="F28" s="136"/>
      <c r="G28" s="137"/>
      <c r="H28" s="137"/>
      <c r="I28" s="136"/>
      <c r="J28" s="136"/>
      <c r="K28" s="136"/>
      <c r="L28" s="138">
        <f t="shared" si="7"/>
        <v>0</v>
      </c>
      <c r="M28" s="138" t="e">
        <f>(L28)/'RTR '!$J$5</f>
        <v>#NUM!</v>
      </c>
    </row>
    <row r="29" spans="1:24" x14ac:dyDescent="0.3">
      <c r="A29" s="140" t="s">
        <v>234</v>
      </c>
      <c r="B29" s="141">
        <f>IFERROR(AVERAGE(B17:B28),0)</f>
        <v>0</v>
      </c>
      <c r="C29" s="141">
        <f>IFERROR(AVERAGE(C17:C28),0)</f>
        <v>0</v>
      </c>
      <c r="D29" s="141">
        <f>IFERROR(AVERAGE(D17:D28),0)</f>
        <v>0</v>
      </c>
      <c r="E29" s="142">
        <f>SUM(E17:E28)</f>
        <v>0</v>
      </c>
      <c r="F29" s="142">
        <f>SUM(F17:F28)</f>
        <v>0</v>
      </c>
      <c r="G29" s="142">
        <f>SUM(G17:G28)</f>
        <v>0</v>
      </c>
      <c r="H29" s="142">
        <f>SUM(H17:H28)</f>
        <v>0</v>
      </c>
      <c r="I29" s="383"/>
      <c r="J29" s="383"/>
      <c r="K29" s="383"/>
      <c r="L29" s="384">
        <f>IFERROR(AVERAGE(I17:K28),0)</f>
        <v>0</v>
      </c>
      <c r="M29" s="385" t="e">
        <f>(L29)/'RTR '!J5</f>
        <v>#NUM!</v>
      </c>
    </row>
    <row r="30" spans="1:24" x14ac:dyDescent="0.3">
      <c r="A30" s="140" t="s">
        <v>235</v>
      </c>
      <c r="B30" s="143">
        <f>IF(B29=0,0,((SUM(B17:B28)/COUNT(B17:B28))*12))</f>
        <v>0</v>
      </c>
      <c r="C30" s="143">
        <f>IF(C29=0,0,((SUM(C17:C28)/COUNT(C17:C28))*12))</f>
        <v>0</v>
      </c>
      <c r="D30" s="143">
        <f>IF(D29=0,0,((SUM(D17:D28)/COUNT(D17:D28))*12))</f>
        <v>0</v>
      </c>
      <c r="E30" s="386" t="s">
        <v>236</v>
      </c>
      <c r="F30" s="386"/>
      <c r="G30" s="127">
        <f>IF(IFERROR(G29/E29,0),G29/E29,0)</f>
        <v>0</v>
      </c>
      <c r="H30" s="127">
        <f>IF(IFERROR(H29/F29,0),H29/F29,0)</f>
        <v>0</v>
      </c>
      <c r="I30" s="383"/>
      <c r="J30" s="383"/>
      <c r="K30" s="383"/>
      <c r="L30" s="384"/>
      <c r="M30" s="384"/>
    </row>
    <row r="32" spans="1:24" x14ac:dyDescent="0.3">
      <c r="A32" s="129" t="s">
        <v>213</v>
      </c>
      <c r="B32" s="376"/>
      <c r="C32" s="376"/>
      <c r="D32" s="377" t="s">
        <v>214</v>
      </c>
      <c r="E32" s="377"/>
      <c r="F32" s="376"/>
      <c r="G32" s="376"/>
      <c r="H32" s="129" t="s">
        <v>215</v>
      </c>
      <c r="I32" s="378" t="s">
        <v>237</v>
      </c>
      <c r="J32" s="378"/>
      <c r="K32" s="129" t="s">
        <v>216</v>
      </c>
      <c r="L32" s="376"/>
      <c r="M32" s="376"/>
      <c r="O32">
        <f>IF(F32=0,0,1)</f>
        <v>0</v>
      </c>
      <c r="P32">
        <f>O32+P14</f>
        <v>0</v>
      </c>
      <c r="Q32">
        <f>IF(O32&gt;0,P32,0)</f>
        <v>0</v>
      </c>
      <c r="R32">
        <f>F32</f>
        <v>0</v>
      </c>
      <c r="S32" t="str">
        <f>I32</f>
        <v>Saving</v>
      </c>
      <c r="T32" s="131">
        <f>B48</f>
        <v>0</v>
      </c>
      <c r="U32" s="131">
        <f>L47</f>
        <v>0</v>
      </c>
      <c r="V32" s="132">
        <f>G48</f>
        <v>0</v>
      </c>
      <c r="W32" s="132">
        <f>H48</f>
        <v>0</v>
      </c>
      <c r="X32" s="131" t="e">
        <f>M47</f>
        <v>#NUM!</v>
      </c>
    </row>
    <row r="33" spans="1:13" ht="15" customHeight="1" x14ac:dyDescent="0.3">
      <c r="A33" s="133" t="s">
        <v>238</v>
      </c>
      <c r="B33" s="379" t="s">
        <v>218</v>
      </c>
      <c r="C33" s="379"/>
      <c r="D33" s="379"/>
      <c r="E33" s="380" t="s">
        <v>219</v>
      </c>
      <c r="F33" s="380"/>
      <c r="G33" s="379" t="s">
        <v>220</v>
      </c>
      <c r="H33" s="379"/>
      <c r="I33" s="381" t="s">
        <v>221</v>
      </c>
      <c r="J33" s="381"/>
      <c r="K33" s="381"/>
      <c r="L33" s="382" t="s">
        <v>222</v>
      </c>
      <c r="M33" s="382" t="s">
        <v>211</v>
      </c>
    </row>
    <row r="34" spans="1:13" ht="45" customHeight="1" x14ac:dyDescent="0.3">
      <c r="A34" s="134" t="s">
        <v>223</v>
      </c>
      <c r="B34" s="134" t="s">
        <v>224</v>
      </c>
      <c r="C34" s="134" t="s">
        <v>225</v>
      </c>
      <c r="D34" s="134" t="s">
        <v>226</v>
      </c>
      <c r="E34" s="134" t="s">
        <v>227</v>
      </c>
      <c r="F34" s="134" t="s">
        <v>228</v>
      </c>
      <c r="G34" s="134" t="s">
        <v>229</v>
      </c>
      <c r="H34" s="134" t="s">
        <v>230</v>
      </c>
      <c r="I34" s="134" t="s">
        <v>231</v>
      </c>
      <c r="J34" s="134" t="s">
        <v>232</v>
      </c>
      <c r="K34" s="134" t="s">
        <v>233</v>
      </c>
      <c r="L34" s="382"/>
      <c r="M34" s="382"/>
    </row>
    <row r="35" spans="1:13" x14ac:dyDescent="0.3">
      <c r="A35" s="135">
        <v>46103</v>
      </c>
      <c r="B35" s="136"/>
      <c r="C35" s="136"/>
      <c r="D35" s="144"/>
      <c r="E35" s="144"/>
      <c r="F35" s="144"/>
      <c r="G35" s="137"/>
      <c r="H35" s="137"/>
      <c r="I35" s="145"/>
      <c r="J35" s="145"/>
      <c r="K35" s="145"/>
      <c r="L35" s="138">
        <f t="shared" ref="L35:L46" si="9">IFERROR((AVERAGE(I35:K35)),0)</f>
        <v>0</v>
      </c>
      <c r="M35" s="138" t="e">
        <f>(L35)/'RTR '!$J$5</f>
        <v>#NUM!</v>
      </c>
    </row>
    <row r="36" spans="1:13" x14ac:dyDescent="0.3">
      <c r="A36" s="139">
        <f t="shared" ref="A36:A46" si="10">A35-30</f>
        <v>46073</v>
      </c>
      <c r="B36" s="136"/>
      <c r="C36" s="136"/>
      <c r="D36" s="144"/>
      <c r="E36" s="144"/>
      <c r="F36" s="144"/>
      <c r="G36" s="137"/>
      <c r="H36" s="137"/>
      <c r="I36" s="145"/>
      <c r="J36" s="145"/>
      <c r="K36" s="145"/>
      <c r="L36" s="138">
        <f t="shared" si="9"/>
        <v>0</v>
      </c>
      <c r="M36" s="138" t="e">
        <f>(L36)/'RTR '!$J$5</f>
        <v>#NUM!</v>
      </c>
    </row>
    <row r="37" spans="1:13" x14ac:dyDescent="0.3">
      <c r="A37" s="139">
        <f t="shared" si="10"/>
        <v>46043</v>
      </c>
      <c r="B37" s="136"/>
      <c r="C37" s="136"/>
      <c r="D37" s="144"/>
      <c r="E37" s="144"/>
      <c r="F37" s="144"/>
      <c r="G37" s="137"/>
      <c r="H37" s="137"/>
      <c r="I37" s="145"/>
      <c r="J37" s="145"/>
      <c r="K37" s="145"/>
      <c r="L37" s="138">
        <f t="shared" si="9"/>
        <v>0</v>
      </c>
      <c r="M37" s="138" t="e">
        <f>(L37)/'RTR '!$J$5</f>
        <v>#NUM!</v>
      </c>
    </row>
    <row r="38" spans="1:13" x14ac:dyDescent="0.3">
      <c r="A38" s="139">
        <f t="shared" si="10"/>
        <v>46013</v>
      </c>
      <c r="B38" s="136"/>
      <c r="C38" s="136"/>
      <c r="D38" s="144"/>
      <c r="E38" s="144"/>
      <c r="F38" s="144"/>
      <c r="G38" s="137"/>
      <c r="H38" s="137"/>
      <c r="I38" s="145"/>
      <c r="J38" s="145"/>
      <c r="K38" s="145"/>
      <c r="L38" s="138">
        <f t="shared" si="9"/>
        <v>0</v>
      </c>
      <c r="M38" s="138" t="e">
        <f>(L38)/'RTR '!$J$5</f>
        <v>#NUM!</v>
      </c>
    </row>
    <row r="39" spans="1:13" x14ac:dyDescent="0.3">
      <c r="A39" s="139">
        <f t="shared" si="10"/>
        <v>45983</v>
      </c>
      <c r="B39" s="136"/>
      <c r="C39" s="136"/>
      <c r="D39" s="144"/>
      <c r="E39" s="144"/>
      <c r="F39" s="144"/>
      <c r="G39" s="137"/>
      <c r="H39" s="137"/>
      <c r="I39" s="145"/>
      <c r="J39" s="145"/>
      <c r="K39" s="145"/>
      <c r="L39" s="138">
        <f t="shared" si="9"/>
        <v>0</v>
      </c>
      <c r="M39" s="138" t="e">
        <f>(L39)/'RTR '!$J$5</f>
        <v>#NUM!</v>
      </c>
    </row>
    <row r="40" spans="1:13" x14ac:dyDescent="0.3">
      <c r="A40" s="139">
        <f t="shared" si="10"/>
        <v>45953</v>
      </c>
      <c r="B40" s="136"/>
      <c r="C40" s="136"/>
      <c r="D40" s="144"/>
      <c r="E40" s="144"/>
      <c r="F40" s="144"/>
      <c r="G40" s="137"/>
      <c r="H40" s="137"/>
      <c r="I40" s="145"/>
      <c r="J40" s="145"/>
      <c r="K40" s="145"/>
      <c r="L40" s="138">
        <f t="shared" si="9"/>
        <v>0</v>
      </c>
      <c r="M40" s="138" t="e">
        <f>(L40)/'RTR '!$J$5</f>
        <v>#NUM!</v>
      </c>
    </row>
    <row r="41" spans="1:13" x14ac:dyDescent="0.3">
      <c r="A41" s="139">
        <f t="shared" si="10"/>
        <v>45923</v>
      </c>
      <c r="B41" s="136"/>
      <c r="C41" s="136"/>
      <c r="D41" s="144"/>
      <c r="E41" s="144"/>
      <c r="F41" s="144"/>
      <c r="G41" s="137"/>
      <c r="H41" s="137"/>
      <c r="I41" s="145"/>
      <c r="J41" s="145"/>
      <c r="K41" s="145"/>
      <c r="L41" s="138">
        <f t="shared" si="9"/>
        <v>0</v>
      </c>
      <c r="M41" s="138" t="e">
        <f>(L41)/'RTR '!$J$5</f>
        <v>#NUM!</v>
      </c>
    </row>
    <row r="42" spans="1:13" x14ac:dyDescent="0.3">
      <c r="A42" s="139">
        <f t="shared" si="10"/>
        <v>45893</v>
      </c>
      <c r="B42" s="136"/>
      <c r="C42" s="136"/>
      <c r="D42" s="144"/>
      <c r="E42" s="144"/>
      <c r="F42" s="144"/>
      <c r="G42" s="137"/>
      <c r="H42" s="137"/>
      <c r="I42" s="145"/>
      <c r="J42" s="145"/>
      <c r="K42" s="145"/>
      <c r="L42" s="138">
        <f t="shared" si="9"/>
        <v>0</v>
      </c>
      <c r="M42" s="138" t="e">
        <f>(L42)/'RTR '!$J$5</f>
        <v>#NUM!</v>
      </c>
    </row>
    <row r="43" spans="1:13" x14ac:dyDescent="0.3">
      <c r="A43" s="139">
        <f t="shared" si="10"/>
        <v>45863</v>
      </c>
      <c r="B43" s="136"/>
      <c r="C43" s="136"/>
      <c r="D43" s="144"/>
      <c r="E43" s="144"/>
      <c r="F43" s="144"/>
      <c r="G43" s="137"/>
      <c r="H43" s="137"/>
      <c r="I43" s="145"/>
      <c r="J43" s="145"/>
      <c r="K43" s="145"/>
      <c r="L43" s="138">
        <f t="shared" si="9"/>
        <v>0</v>
      </c>
      <c r="M43" s="138" t="e">
        <f>(L43)/'RTR '!$J$5</f>
        <v>#NUM!</v>
      </c>
    </row>
    <row r="44" spans="1:13" x14ac:dyDescent="0.3">
      <c r="A44" s="139">
        <f t="shared" si="10"/>
        <v>45833</v>
      </c>
      <c r="B44" s="136"/>
      <c r="C44" s="136"/>
      <c r="D44" s="144"/>
      <c r="E44" s="144"/>
      <c r="F44" s="144"/>
      <c r="G44" s="137"/>
      <c r="H44" s="137"/>
      <c r="I44" s="145"/>
      <c r="J44" s="145"/>
      <c r="K44" s="145"/>
      <c r="L44" s="138">
        <f t="shared" si="9"/>
        <v>0</v>
      </c>
      <c r="M44" s="138" t="e">
        <f>(L44)/'RTR '!$J$5</f>
        <v>#NUM!</v>
      </c>
    </row>
    <row r="45" spans="1:13" x14ac:dyDescent="0.3">
      <c r="A45" s="139">
        <f t="shared" si="10"/>
        <v>45803</v>
      </c>
      <c r="B45" s="136"/>
      <c r="C45" s="136"/>
      <c r="D45" s="144"/>
      <c r="E45" s="144"/>
      <c r="F45" s="144"/>
      <c r="G45" s="137"/>
      <c r="H45" s="137"/>
      <c r="I45" s="145"/>
      <c r="J45" s="145"/>
      <c r="K45" s="145"/>
      <c r="L45" s="138">
        <f t="shared" si="9"/>
        <v>0</v>
      </c>
      <c r="M45" s="138" t="e">
        <f>(L45)/'RTR '!$J$5</f>
        <v>#NUM!</v>
      </c>
    </row>
    <row r="46" spans="1:13" x14ac:dyDescent="0.3">
      <c r="A46" s="139">
        <f t="shared" si="10"/>
        <v>45773</v>
      </c>
      <c r="B46" s="136"/>
      <c r="C46" s="136"/>
      <c r="D46" s="144"/>
      <c r="E46" s="144"/>
      <c r="F46" s="144"/>
      <c r="G46" s="137"/>
      <c r="H46" s="137"/>
      <c r="I46" s="145"/>
      <c r="J46" s="145"/>
      <c r="K46" s="145"/>
      <c r="L46" s="138">
        <f t="shared" si="9"/>
        <v>0</v>
      </c>
      <c r="M46" s="138" t="e">
        <f>(L46)/'RTR '!$J$5</f>
        <v>#NUM!</v>
      </c>
    </row>
    <row r="47" spans="1:13" x14ac:dyDescent="0.3">
      <c r="A47" s="140" t="s">
        <v>234</v>
      </c>
      <c r="B47" s="141">
        <f>IFERROR(AVERAGE(B35:B46),0)</f>
        <v>0</v>
      </c>
      <c r="C47" s="141">
        <f>IFERROR(AVERAGE(C35:C46),0)</f>
        <v>0</v>
      </c>
      <c r="D47" s="141">
        <f>IFERROR(AVERAGE(D35:D46),0)</f>
        <v>0</v>
      </c>
      <c r="E47" s="142">
        <f>SUM(E35:E46)</f>
        <v>0</v>
      </c>
      <c r="F47" s="142">
        <f>SUM(F35:F46)</f>
        <v>0</v>
      </c>
      <c r="G47" s="142">
        <f>SUM(G35:G46)</f>
        <v>0</v>
      </c>
      <c r="H47" s="142">
        <f>SUM(H35:H46)</f>
        <v>0</v>
      </c>
      <c r="I47" s="383"/>
      <c r="J47" s="383"/>
      <c r="K47" s="383"/>
      <c r="L47" s="384">
        <f>IFERROR(AVERAGE(I35:K46),0)</f>
        <v>0</v>
      </c>
      <c r="M47" s="385" t="e">
        <f>(L47)/'RTR '!J5</f>
        <v>#NUM!</v>
      </c>
    </row>
    <row r="48" spans="1:13" x14ac:dyDescent="0.3">
      <c r="A48" s="140" t="s">
        <v>235</v>
      </c>
      <c r="B48" s="143">
        <f>IF(B47=0,0,((SUM(B35:B46)/COUNT(B35:B46))*12))</f>
        <v>0</v>
      </c>
      <c r="C48" s="143">
        <f>IF(C47=0,0,((SUM(C35:C46)/COUNT(C35:C46))*12))</f>
        <v>0</v>
      </c>
      <c r="D48" s="143">
        <f>IF(D47=0,0,((SUM(D35:D46)/COUNT(D35:D46))*12))</f>
        <v>0</v>
      </c>
      <c r="E48" s="386" t="s">
        <v>236</v>
      </c>
      <c r="F48" s="386"/>
      <c r="G48" s="127">
        <f>IF(IFERROR(G47/E47,0),G47/E47,0)</f>
        <v>0</v>
      </c>
      <c r="H48" s="127">
        <f>IF(IFERROR(H47/F47,0),H47/F47,0)</f>
        <v>0</v>
      </c>
      <c r="I48" s="383"/>
      <c r="J48" s="383"/>
      <c r="K48" s="383"/>
      <c r="L48" s="384"/>
      <c r="M48" s="384"/>
    </row>
    <row r="50" spans="1:24" x14ac:dyDescent="0.3">
      <c r="A50" s="129" t="s">
        <v>213</v>
      </c>
      <c r="B50" s="376"/>
      <c r="C50" s="376"/>
      <c r="D50" s="377" t="s">
        <v>214</v>
      </c>
      <c r="E50" s="377"/>
      <c r="F50" s="376"/>
      <c r="G50" s="376"/>
      <c r="H50" s="129" t="s">
        <v>215</v>
      </c>
      <c r="I50" s="378"/>
      <c r="J50" s="378"/>
      <c r="K50" s="129" t="s">
        <v>216</v>
      </c>
      <c r="L50" s="376"/>
      <c r="M50" s="376"/>
      <c r="O50">
        <f>IF(F50=0,0,1)</f>
        <v>0</v>
      </c>
      <c r="P50">
        <f>O50+P32</f>
        <v>0</v>
      </c>
      <c r="Q50">
        <f>IF(O50&gt;0,P50,0)</f>
        <v>0</v>
      </c>
      <c r="R50">
        <f>F50</f>
        <v>0</v>
      </c>
      <c r="S50">
        <f>I50</f>
        <v>0</v>
      </c>
      <c r="T50" s="131">
        <f>B66</f>
        <v>0</v>
      </c>
      <c r="U50" s="131">
        <f>L65</f>
        <v>0</v>
      </c>
      <c r="V50" s="132">
        <f>G66</f>
        <v>0</v>
      </c>
      <c r="W50" s="132">
        <f>H66</f>
        <v>0</v>
      </c>
      <c r="X50" s="131" t="e">
        <f>M65</f>
        <v>#NUM!</v>
      </c>
    </row>
    <row r="51" spans="1:24" ht="15" customHeight="1" x14ac:dyDescent="0.3">
      <c r="A51" s="133" t="s">
        <v>239</v>
      </c>
      <c r="B51" s="379" t="s">
        <v>218</v>
      </c>
      <c r="C51" s="379"/>
      <c r="D51" s="379"/>
      <c r="E51" s="380" t="s">
        <v>219</v>
      </c>
      <c r="F51" s="380"/>
      <c r="G51" s="379" t="s">
        <v>220</v>
      </c>
      <c r="H51" s="379"/>
      <c r="I51" s="381" t="s">
        <v>221</v>
      </c>
      <c r="J51" s="381"/>
      <c r="K51" s="381"/>
      <c r="L51" s="382" t="s">
        <v>222</v>
      </c>
      <c r="M51" s="382" t="s">
        <v>211</v>
      </c>
    </row>
    <row r="52" spans="1:24" ht="45" customHeight="1" x14ac:dyDescent="0.3">
      <c r="A52" s="134" t="s">
        <v>223</v>
      </c>
      <c r="B52" s="134" t="s">
        <v>224</v>
      </c>
      <c r="C52" s="134" t="s">
        <v>225</v>
      </c>
      <c r="D52" s="134" t="s">
        <v>226</v>
      </c>
      <c r="E52" s="134" t="s">
        <v>227</v>
      </c>
      <c r="F52" s="134" t="s">
        <v>228</v>
      </c>
      <c r="G52" s="134" t="s">
        <v>229</v>
      </c>
      <c r="H52" s="134" t="s">
        <v>230</v>
      </c>
      <c r="I52" s="134" t="s">
        <v>231</v>
      </c>
      <c r="J52" s="134" t="s">
        <v>232</v>
      </c>
      <c r="K52" s="134" t="s">
        <v>233</v>
      </c>
      <c r="L52" s="382"/>
      <c r="M52" s="382"/>
    </row>
    <row r="53" spans="1:24" x14ac:dyDescent="0.3">
      <c r="A53" s="135">
        <v>46103</v>
      </c>
      <c r="B53" s="136"/>
      <c r="C53" s="137"/>
      <c r="D53" s="144"/>
      <c r="E53" s="144"/>
      <c r="F53" s="144"/>
      <c r="G53" s="137"/>
      <c r="H53" s="137"/>
      <c r="I53" s="145"/>
      <c r="J53" s="145"/>
      <c r="K53" s="145"/>
      <c r="L53" s="138">
        <f t="shared" ref="L53:L64" si="11">IFERROR((AVERAGE(I53:K53)),0)</f>
        <v>0</v>
      </c>
      <c r="M53" s="138" t="e">
        <f>(L53)/'RTR '!$J$5</f>
        <v>#NUM!</v>
      </c>
    </row>
    <row r="54" spans="1:24" x14ac:dyDescent="0.3">
      <c r="A54" s="139">
        <f t="shared" ref="A54:A64" si="12">A53-30</f>
        <v>46073</v>
      </c>
      <c r="B54" s="136"/>
      <c r="C54" s="136"/>
      <c r="D54" s="144"/>
      <c r="E54" s="144"/>
      <c r="F54" s="144"/>
      <c r="G54" s="137"/>
      <c r="H54" s="137"/>
      <c r="I54" s="145"/>
      <c r="J54" s="145"/>
      <c r="K54" s="145"/>
      <c r="L54" s="138">
        <f t="shared" si="11"/>
        <v>0</v>
      </c>
      <c r="M54" s="138" t="e">
        <f>(L54)/'RTR '!$J$5</f>
        <v>#NUM!</v>
      </c>
    </row>
    <row r="55" spans="1:24" x14ac:dyDescent="0.3">
      <c r="A55" s="139">
        <f t="shared" si="12"/>
        <v>46043</v>
      </c>
      <c r="B55" s="136"/>
      <c r="C55" s="136"/>
      <c r="D55" s="144"/>
      <c r="E55" s="144"/>
      <c r="F55" s="144"/>
      <c r="G55" s="137"/>
      <c r="H55" s="137"/>
      <c r="I55" s="145"/>
      <c r="J55" s="145"/>
      <c r="K55" s="145"/>
      <c r="L55" s="138">
        <f t="shared" si="11"/>
        <v>0</v>
      </c>
      <c r="M55" s="138" t="e">
        <f>(L55)/'RTR '!$J$5</f>
        <v>#NUM!</v>
      </c>
    </row>
    <row r="56" spans="1:24" x14ac:dyDescent="0.3">
      <c r="A56" s="139">
        <f t="shared" si="12"/>
        <v>46013</v>
      </c>
      <c r="B56" s="136"/>
      <c r="C56" s="137"/>
      <c r="D56" s="144"/>
      <c r="E56" s="144"/>
      <c r="F56" s="144"/>
      <c r="G56" s="137"/>
      <c r="H56" s="137"/>
      <c r="I56" s="145"/>
      <c r="J56" s="145"/>
      <c r="K56" s="145"/>
      <c r="L56" s="138">
        <f t="shared" si="11"/>
        <v>0</v>
      </c>
      <c r="M56" s="138" t="e">
        <f>(L56)/'RTR '!$J$5</f>
        <v>#NUM!</v>
      </c>
    </row>
    <row r="57" spans="1:24" x14ac:dyDescent="0.3">
      <c r="A57" s="139">
        <f t="shared" si="12"/>
        <v>45983</v>
      </c>
      <c r="B57" s="136"/>
      <c r="C57" s="137"/>
      <c r="D57" s="144"/>
      <c r="E57" s="144"/>
      <c r="F57" s="144"/>
      <c r="G57" s="137"/>
      <c r="H57" s="137"/>
      <c r="I57" s="145"/>
      <c r="J57" s="145"/>
      <c r="K57" s="145"/>
      <c r="L57" s="138">
        <f t="shared" si="11"/>
        <v>0</v>
      </c>
      <c r="M57" s="138" t="e">
        <f>(L57)/'RTR '!$J$5</f>
        <v>#NUM!</v>
      </c>
    </row>
    <row r="58" spans="1:24" x14ac:dyDescent="0.3">
      <c r="A58" s="139">
        <f t="shared" si="12"/>
        <v>45953</v>
      </c>
      <c r="B58" s="136"/>
      <c r="C58" s="137"/>
      <c r="D58" s="144"/>
      <c r="E58" s="144"/>
      <c r="F58" s="144"/>
      <c r="G58" s="137"/>
      <c r="H58" s="137"/>
      <c r="I58" s="145"/>
      <c r="J58" s="145"/>
      <c r="K58" s="145"/>
      <c r="L58" s="138">
        <f t="shared" si="11"/>
        <v>0</v>
      </c>
      <c r="M58" s="138" t="e">
        <f>(L58)/'RTR '!$J$5</f>
        <v>#NUM!</v>
      </c>
    </row>
    <row r="59" spans="1:24" x14ac:dyDescent="0.3">
      <c r="A59" s="139">
        <f t="shared" si="12"/>
        <v>45923</v>
      </c>
      <c r="B59" s="136"/>
      <c r="C59" s="137"/>
      <c r="D59" s="144"/>
      <c r="E59" s="144"/>
      <c r="F59" s="144"/>
      <c r="G59" s="137"/>
      <c r="H59" s="137"/>
      <c r="I59" s="145"/>
      <c r="J59" s="145"/>
      <c r="K59" s="145"/>
      <c r="L59" s="138">
        <f t="shared" si="11"/>
        <v>0</v>
      </c>
      <c r="M59" s="138" t="e">
        <f>(L59)/'RTR '!$J$5</f>
        <v>#NUM!</v>
      </c>
    </row>
    <row r="60" spans="1:24" x14ac:dyDescent="0.3">
      <c r="A60" s="139">
        <f t="shared" si="12"/>
        <v>45893</v>
      </c>
      <c r="B60" s="136"/>
      <c r="C60" s="137"/>
      <c r="D60" s="144"/>
      <c r="E60" s="144"/>
      <c r="F60" s="144"/>
      <c r="G60" s="137"/>
      <c r="H60" s="137"/>
      <c r="I60" s="145"/>
      <c r="J60" s="145"/>
      <c r="K60" s="145"/>
      <c r="L60" s="138">
        <f t="shared" si="11"/>
        <v>0</v>
      </c>
      <c r="M60" s="138" t="e">
        <f>(L60)/'RTR '!$J$5</f>
        <v>#NUM!</v>
      </c>
    </row>
    <row r="61" spans="1:24" x14ac:dyDescent="0.3">
      <c r="A61" s="139">
        <f t="shared" si="12"/>
        <v>45863</v>
      </c>
      <c r="B61" s="136"/>
      <c r="C61" s="137"/>
      <c r="D61" s="144"/>
      <c r="E61" s="144"/>
      <c r="F61" s="144"/>
      <c r="G61" s="137"/>
      <c r="H61" s="137"/>
      <c r="I61" s="145"/>
      <c r="J61" s="145"/>
      <c r="K61" s="146"/>
      <c r="L61" s="138">
        <f t="shared" si="11"/>
        <v>0</v>
      </c>
      <c r="M61" s="138" t="e">
        <f>(L61)/'RTR '!$J$5</f>
        <v>#NUM!</v>
      </c>
    </row>
    <row r="62" spans="1:24" x14ac:dyDescent="0.3">
      <c r="A62" s="139">
        <f t="shared" si="12"/>
        <v>45833</v>
      </c>
      <c r="B62" s="136"/>
      <c r="C62" s="137"/>
      <c r="D62" s="144"/>
      <c r="E62" s="144"/>
      <c r="F62" s="144"/>
      <c r="G62" s="137"/>
      <c r="H62" s="137"/>
      <c r="I62" s="145"/>
      <c r="J62" s="145"/>
      <c r="K62" s="145"/>
      <c r="L62" s="138">
        <f t="shared" si="11"/>
        <v>0</v>
      </c>
      <c r="M62" s="138" t="e">
        <f>(L62)/'RTR '!$J$5</f>
        <v>#NUM!</v>
      </c>
    </row>
    <row r="63" spans="1:24" x14ac:dyDescent="0.3">
      <c r="A63" s="139">
        <f t="shared" si="12"/>
        <v>45803</v>
      </c>
      <c r="B63" s="136"/>
      <c r="C63" s="137"/>
      <c r="D63" s="144"/>
      <c r="E63" s="144"/>
      <c r="F63" s="144"/>
      <c r="G63" s="137"/>
      <c r="H63" s="137"/>
      <c r="I63" s="145"/>
      <c r="J63" s="145"/>
      <c r="K63" s="145"/>
      <c r="L63" s="138">
        <f t="shared" si="11"/>
        <v>0</v>
      </c>
      <c r="M63" s="138" t="e">
        <f>(L63)/'RTR '!$J$5</f>
        <v>#NUM!</v>
      </c>
    </row>
    <row r="64" spans="1:24" x14ac:dyDescent="0.3">
      <c r="A64" s="139">
        <f t="shared" si="12"/>
        <v>45773</v>
      </c>
      <c r="B64" s="136"/>
      <c r="C64" s="136"/>
      <c r="D64" s="136"/>
      <c r="E64" s="144"/>
      <c r="F64" s="144"/>
      <c r="G64" s="137"/>
      <c r="H64" s="137"/>
      <c r="I64" s="145"/>
      <c r="J64" s="145"/>
      <c r="K64" s="145"/>
      <c r="L64" s="138">
        <f t="shared" si="11"/>
        <v>0</v>
      </c>
      <c r="M64" s="138" t="e">
        <f>(L64)/'RTR '!$J$5</f>
        <v>#NUM!</v>
      </c>
    </row>
    <row r="65" spans="1:24" x14ac:dyDescent="0.3">
      <c r="A65" s="140" t="s">
        <v>234</v>
      </c>
      <c r="B65" s="141">
        <f>IFERROR(AVERAGE(B53:B64),0)</f>
        <v>0</v>
      </c>
      <c r="C65" s="141">
        <f>IFERROR(AVERAGE(C53:C64),0)</f>
        <v>0</v>
      </c>
      <c r="D65" s="141">
        <f>IFERROR(AVERAGE(D53:D64),0)</f>
        <v>0</v>
      </c>
      <c r="E65" s="142">
        <f>SUM(E53:E64)</f>
        <v>0</v>
      </c>
      <c r="F65" s="142">
        <f>SUM(F53:F64)</f>
        <v>0</v>
      </c>
      <c r="G65" s="142">
        <f>SUM(G53:G64)</f>
        <v>0</v>
      </c>
      <c r="H65" s="142">
        <f>SUM(H53:H64)</f>
        <v>0</v>
      </c>
      <c r="I65" s="383"/>
      <c r="J65" s="383"/>
      <c r="K65" s="383"/>
      <c r="L65" s="384">
        <f>IFERROR(AVERAGE(I53:K64),0)</f>
        <v>0</v>
      </c>
      <c r="M65" s="385" t="e">
        <f>(L65)/'RTR '!J5</f>
        <v>#NUM!</v>
      </c>
    </row>
    <row r="66" spans="1:24" x14ac:dyDescent="0.3">
      <c r="A66" s="140" t="s">
        <v>235</v>
      </c>
      <c r="B66" s="143">
        <f>IF(B65=0,0,((SUM(B53:B64)/COUNT(B53:B64))*12))</f>
        <v>0</v>
      </c>
      <c r="C66" s="143">
        <f>IF(C65=0,0,((SUM(C53:C64)/COUNT(C53:C64))*12))</f>
        <v>0</v>
      </c>
      <c r="D66" s="143">
        <f>IF(D65=0,0,((SUM(D53:D64)/COUNT(D53:D64))*12))</f>
        <v>0</v>
      </c>
      <c r="E66" s="386" t="s">
        <v>236</v>
      </c>
      <c r="F66" s="386"/>
      <c r="G66" s="127">
        <f>IF(IFERROR(G65/E65,0),G65/E65,0)</f>
        <v>0</v>
      </c>
      <c r="H66" s="127">
        <f>IF(IFERROR(H65/F65,0),H65/F65,0)</f>
        <v>0</v>
      </c>
      <c r="I66" s="383"/>
      <c r="J66" s="383"/>
      <c r="K66" s="383"/>
      <c r="L66" s="384"/>
      <c r="M66" s="384"/>
    </row>
    <row r="68" spans="1:24" x14ac:dyDescent="0.3">
      <c r="A68" s="129" t="s">
        <v>213</v>
      </c>
      <c r="B68" s="376"/>
      <c r="C68" s="376"/>
      <c r="D68" s="377" t="s">
        <v>214</v>
      </c>
      <c r="E68" s="377"/>
      <c r="F68" s="376"/>
      <c r="G68" s="376"/>
      <c r="H68" s="129" t="s">
        <v>215</v>
      </c>
      <c r="I68" s="378"/>
      <c r="J68" s="378"/>
      <c r="K68" s="129" t="s">
        <v>216</v>
      </c>
      <c r="L68" s="376"/>
      <c r="M68" s="376"/>
      <c r="O68">
        <f>IF(F68=0,0,1)</f>
        <v>0</v>
      </c>
      <c r="P68">
        <f>O68+P50</f>
        <v>0</v>
      </c>
      <c r="Q68">
        <f>IF(O68&gt;0,P68,0)</f>
        <v>0</v>
      </c>
      <c r="R68">
        <f>F68</f>
        <v>0</v>
      </c>
      <c r="S68">
        <f>I68</f>
        <v>0</v>
      </c>
      <c r="T68" s="131">
        <f>B84</f>
        <v>0</v>
      </c>
      <c r="U68" s="131">
        <f>L83</f>
        <v>0</v>
      </c>
      <c r="V68" s="132">
        <f>G84</f>
        <v>0</v>
      </c>
      <c r="W68" s="132">
        <f>H84</f>
        <v>0</v>
      </c>
      <c r="X68" s="131" t="e">
        <f>M83</f>
        <v>#NUM!</v>
      </c>
    </row>
    <row r="69" spans="1:24" ht="15" customHeight="1" x14ac:dyDescent="0.3">
      <c r="A69" s="133" t="s">
        <v>240</v>
      </c>
      <c r="B69" s="379" t="s">
        <v>218</v>
      </c>
      <c r="C69" s="379"/>
      <c r="D69" s="379"/>
      <c r="E69" s="380" t="s">
        <v>219</v>
      </c>
      <c r="F69" s="380"/>
      <c r="G69" s="379" t="s">
        <v>220</v>
      </c>
      <c r="H69" s="379"/>
      <c r="I69" s="381" t="s">
        <v>221</v>
      </c>
      <c r="J69" s="381"/>
      <c r="K69" s="381"/>
      <c r="L69" s="382" t="s">
        <v>222</v>
      </c>
      <c r="M69" s="382" t="s">
        <v>211</v>
      </c>
    </row>
    <row r="70" spans="1:24" ht="45" customHeight="1" x14ac:dyDescent="0.3">
      <c r="A70" s="134" t="s">
        <v>223</v>
      </c>
      <c r="B70" s="134" t="s">
        <v>224</v>
      </c>
      <c r="C70" s="134" t="s">
        <v>225</v>
      </c>
      <c r="D70" s="134" t="s">
        <v>226</v>
      </c>
      <c r="E70" s="134" t="s">
        <v>227</v>
      </c>
      <c r="F70" s="134" t="s">
        <v>228</v>
      </c>
      <c r="G70" s="134" t="s">
        <v>229</v>
      </c>
      <c r="H70" s="134" t="s">
        <v>230</v>
      </c>
      <c r="I70" s="134" t="s">
        <v>231</v>
      </c>
      <c r="J70" s="134" t="s">
        <v>232</v>
      </c>
      <c r="K70" s="134" t="s">
        <v>233</v>
      </c>
      <c r="L70" s="382"/>
      <c r="M70" s="382"/>
    </row>
    <row r="71" spans="1:24" x14ac:dyDescent="0.3">
      <c r="A71" s="135">
        <v>44673</v>
      </c>
      <c r="B71" s="136"/>
      <c r="C71" s="136"/>
      <c r="D71" s="136"/>
      <c r="E71" s="144"/>
      <c r="F71" s="144"/>
      <c r="G71" s="137"/>
      <c r="H71" s="137"/>
      <c r="I71" s="145"/>
      <c r="J71" s="145"/>
      <c r="K71" s="145"/>
      <c r="L71" s="138">
        <f t="shared" ref="L71:L82" si="13">IFERROR((AVERAGE(I71:K71)),0)</f>
        <v>0</v>
      </c>
      <c r="M71" s="138" t="e">
        <f>(L71)/'RTR '!$J$5</f>
        <v>#NUM!</v>
      </c>
    </row>
    <row r="72" spans="1:24" x14ac:dyDescent="0.3">
      <c r="A72" s="139">
        <f t="shared" ref="A72:A82" si="14">A71-30</f>
        <v>44643</v>
      </c>
      <c r="B72" s="136"/>
      <c r="C72" s="136"/>
      <c r="D72" s="136"/>
      <c r="E72" s="144"/>
      <c r="F72" s="144"/>
      <c r="G72" s="137"/>
      <c r="H72" s="137"/>
      <c r="I72" s="145"/>
      <c r="J72" s="145"/>
      <c r="K72" s="145"/>
      <c r="L72" s="138">
        <f t="shared" si="13"/>
        <v>0</v>
      </c>
      <c r="M72" s="138" t="e">
        <f>(L72)/'RTR '!$J$5</f>
        <v>#NUM!</v>
      </c>
    </row>
    <row r="73" spans="1:24" x14ac:dyDescent="0.3">
      <c r="A73" s="139">
        <f t="shared" si="14"/>
        <v>44613</v>
      </c>
      <c r="B73" s="136"/>
      <c r="C73" s="136"/>
      <c r="D73" s="136"/>
      <c r="E73" s="144"/>
      <c r="F73" s="144"/>
      <c r="G73" s="137"/>
      <c r="H73" s="137"/>
      <c r="I73" s="145"/>
      <c r="J73" s="145"/>
      <c r="K73" s="145"/>
      <c r="L73" s="138">
        <f t="shared" si="13"/>
        <v>0</v>
      </c>
      <c r="M73" s="138" t="e">
        <f>(L73)/'RTR '!$J$5</f>
        <v>#NUM!</v>
      </c>
    </row>
    <row r="74" spans="1:24" x14ac:dyDescent="0.3">
      <c r="A74" s="139">
        <f t="shared" si="14"/>
        <v>44583</v>
      </c>
      <c r="B74" s="136"/>
      <c r="C74" s="136"/>
      <c r="D74" s="136"/>
      <c r="E74" s="144"/>
      <c r="F74" s="144"/>
      <c r="G74" s="137"/>
      <c r="H74" s="137"/>
      <c r="I74" s="145"/>
      <c r="J74" s="145"/>
      <c r="K74" s="145"/>
      <c r="L74" s="138">
        <f t="shared" si="13"/>
        <v>0</v>
      </c>
      <c r="M74" s="138" t="e">
        <f>(L74)/'RTR '!$J$5</f>
        <v>#NUM!</v>
      </c>
    </row>
    <row r="75" spans="1:24" x14ac:dyDescent="0.3">
      <c r="A75" s="139">
        <f t="shared" si="14"/>
        <v>44553</v>
      </c>
      <c r="B75" s="136"/>
      <c r="C75" s="136"/>
      <c r="D75" s="136"/>
      <c r="E75" s="144"/>
      <c r="F75" s="144"/>
      <c r="G75" s="137"/>
      <c r="H75" s="137"/>
      <c r="I75" s="145"/>
      <c r="J75" s="145"/>
      <c r="K75" s="145"/>
      <c r="L75" s="138">
        <f t="shared" si="13"/>
        <v>0</v>
      </c>
      <c r="M75" s="138" t="e">
        <f>(L75)/'RTR '!$J$5</f>
        <v>#NUM!</v>
      </c>
    </row>
    <row r="76" spans="1:24" x14ac:dyDescent="0.3">
      <c r="A76" s="139">
        <f t="shared" si="14"/>
        <v>44523</v>
      </c>
      <c r="B76" s="136"/>
      <c r="C76" s="136"/>
      <c r="D76" s="136"/>
      <c r="E76" s="144"/>
      <c r="F76" s="144"/>
      <c r="G76" s="137"/>
      <c r="H76" s="137"/>
      <c r="I76" s="145"/>
      <c r="J76" s="145"/>
      <c r="K76" s="145"/>
      <c r="L76" s="138">
        <f t="shared" si="13"/>
        <v>0</v>
      </c>
      <c r="M76" s="138" t="e">
        <f>(L76)/'RTR '!$J$5</f>
        <v>#NUM!</v>
      </c>
    </row>
    <row r="77" spans="1:24" x14ac:dyDescent="0.3">
      <c r="A77" s="139">
        <f t="shared" si="14"/>
        <v>44493</v>
      </c>
      <c r="B77" s="136"/>
      <c r="C77" s="136"/>
      <c r="D77" s="136"/>
      <c r="E77" s="144"/>
      <c r="F77" s="144"/>
      <c r="G77" s="137"/>
      <c r="H77" s="137"/>
      <c r="I77" s="145"/>
      <c r="J77" s="145"/>
      <c r="K77" s="145"/>
      <c r="L77" s="138">
        <f t="shared" si="13"/>
        <v>0</v>
      </c>
      <c r="M77" s="138" t="e">
        <f>(L77)/'RTR '!$J$5</f>
        <v>#NUM!</v>
      </c>
    </row>
    <row r="78" spans="1:24" x14ac:dyDescent="0.3">
      <c r="A78" s="139">
        <f t="shared" si="14"/>
        <v>44463</v>
      </c>
      <c r="B78" s="136"/>
      <c r="C78" s="136"/>
      <c r="D78" s="136"/>
      <c r="E78" s="144"/>
      <c r="F78" s="144"/>
      <c r="G78" s="137"/>
      <c r="H78" s="137"/>
      <c r="I78" s="145"/>
      <c r="J78" s="145"/>
      <c r="K78" s="145"/>
      <c r="L78" s="138">
        <f t="shared" si="13"/>
        <v>0</v>
      </c>
      <c r="M78" s="138" t="e">
        <f>(L78)/'RTR '!$J$5</f>
        <v>#NUM!</v>
      </c>
    </row>
    <row r="79" spans="1:24" x14ac:dyDescent="0.3">
      <c r="A79" s="139">
        <f t="shared" si="14"/>
        <v>44433</v>
      </c>
      <c r="B79" s="136"/>
      <c r="C79" s="136"/>
      <c r="D79" s="136"/>
      <c r="E79" s="144"/>
      <c r="F79" s="144"/>
      <c r="G79" s="137"/>
      <c r="H79" s="137"/>
      <c r="I79" s="145"/>
      <c r="J79" s="145"/>
      <c r="K79" s="145"/>
      <c r="L79" s="138">
        <f t="shared" si="13"/>
        <v>0</v>
      </c>
      <c r="M79" s="138" t="e">
        <f>(L79)/'RTR '!$J$5</f>
        <v>#NUM!</v>
      </c>
    </row>
    <row r="80" spans="1:24" x14ac:dyDescent="0.3">
      <c r="A80" s="139">
        <f t="shared" si="14"/>
        <v>44403</v>
      </c>
      <c r="B80" s="136"/>
      <c r="C80" s="136"/>
      <c r="D80" s="136"/>
      <c r="E80" s="144"/>
      <c r="F80" s="144"/>
      <c r="G80" s="137"/>
      <c r="H80" s="137"/>
      <c r="I80" s="145"/>
      <c r="J80" s="145"/>
      <c r="K80" s="145"/>
      <c r="L80" s="138">
        <f t="shared" si="13"/>
        <v>0</v>
      </c>
      <c r="M80" s="138" t="e">
        <f>(L80)/'RTR '!$J$5</f>
        <v>#NUM!</v>
      </c>
    </row>
    <row r="81" spans="1:24" x14ac:dyDescent="0.3">
      <c r="A81" s="139">
        <f t="shared" si="14"/>
        <v>44373</v>
      </c>
      <c r="B81" s="136"/>
      <c r="C81" s="136"/>
      <c r="D81" s="136"/>
      <c r="E81" s="144"/>
      <c r="F81" s="144"/>
      <c r="G81" s="137"/>
      <c r="H81" s="137"/>
      <c r="I81" s="145"/>
      <c r="J81" s="145"/>
      <c r="K81" s="145"/>
      <c r="L81" s="138">
        <f t="shared" si="13"/>
        <v>0</v>
      </c>
      <c r="M81" s="138" t="e">
        <f>(L81)/'RTR '!$J$5</f>
        <v>#NUM!</v>
      </c>
    </row>
    <row r="82" spans="1:24" x14ac:dyDescent="0.3">
      <c r="A82" s="139">
        <f t="shared" si="14"/>
        <v>44343</v>
      </c>
      <c r="B82" s="136"/>
      <c r="C82" s="136"/>
      <c r="D82" s="136"/>
      <c r="E82" s="144"/>
      <c r="F82" s="144"/>
      <c r="G82" s="137"/>
      <c r="H82" s="137"/>
      <c r="I82" s="145"/>
      <c r="J82" s="145"/>
      <c r="K82" s="145"/>
      <c r="L82" s="138">
        <f t="shared" si="13"/>
        <v>0</v>
      </c>
      <c r="M82" s="138" t="e">
        <f>(L82)/'RTR '!$J$5</f>
        <v>#NUM!</v>
      </c>
    </row>
    <row r="83" spans="1:24" x14ac:dyDescent="0.3">
      <c r="A83" s="140" t="s">
        <v>234</v>
      </c>
      <c r="B83" s="141">
        <f>IFERROR(AVERAGE(B71:B82),0)</f>
        <v>0</v>
      </c>
      <c r="C83" s="141">
        <f>IFERROR(AVERAGE(C71:C82),0)</f>
        <v>0</v>
      </c>
      <c r="D83" s="141">
        <f>IFERROR(AVERAGE(D71:D82),0)</f>
        <v>0</v>
      </c>
      <c r="E83" s="142">
        <f>SUM(E71:E82)</f>
        <v>0</v>
      </c>
      <c r="F83" s="142">
        <f>SUM(F71:F82)</f>
        <v>0</v>
      </c>
      <c r="G83" s="142">
        <f>SUM(G71:G82)</f>
        <v>0</v>
      </c>
      <c r="H83" s="142">
        <f>SUM(H71:H82)</f>
        <v>0</v>
      </c>
      <c r="I83" s="383"/>
      <c r="J83" s="383"/>
      <c r="K83" s="383"/>
      <c r="L83" s="384">
        <f>IFERROR(AVERAGE(I71:K82),0)</f>
        <v>0</v>
      </c>
      <c r="M83" s="385" t="e">
        <f>(L83)/'RTR '!J5</f>
        <v>#NUM!</v>
      </c>
    </row>
    <row r="84" spans="1:24" x14ac:dyDescent="0.3">
      <c r="A84" s="140" t="s">
        <v>235</v>
      </c>
      <c r="B84" s="143">
        <f>IF(B83=0,0,((SUM(B71:B82)/COUNT(B71:B82))*12))</f>
        <v>0</v>
      </c>
      <c r="C84" s="143">
        <f>IF(C83=0,0,((SUM(C71:C82)/COUNT(C71:C82))*12))</f>
        <v>0</v>
      </c>
      <c r="D84" s="143">
        <f>IF(D83=0,0,((SUM(D71:D82)/COUNT(D71:D82))*12))</f>
        <v>0</v>
      </c>
      <c r="E84" s="386" t="s">
        <v>236</v>
      </c>
      <c r="F84" s="386"/>
      <c r="G84" s="127">
        <f>IF(IFERROR(G83/E83,0),G83/E83,0)</f>
        <v>0</v>
      </c>
      <c r="H84" s="127">
        <f>IF(IFERROR(H83/F83,0),H83/F83,0)</f>
        <v>0</v>
      </c>
      <c r="I84" s="383"/>
      <c r="J84" s="383"/>
      <c r="K84" s="383"/>
      <c r="L84" s="384"/>
      <c r="M84" s="384"/>
    </row>
    <row r="86" spans="1:24" x14ac:dyDescent="0.3">
      <c r="A86" s="129" t="s">
        <v>213</v>
      </c>
      <c r="B86" s="376"/>
      <c r="C86" s="376"/>
      <c r="D86" s="377" t="s">
        <v>214</v>
      </c>
      <c r="E86" s="377"/>
      <c r="F86" s="376"/>
      <c r="G86" s="376"/>
      <c r="H86" s="129" t="s">
        <v>215</v>
      </c>
      <c r="I86" s="378"/>
      <c r="J86" s="378"/>
      <c r="K86" s="129" t="s">
        <v>216</v>
      </c>
      <c r="L86" s="376"/>
      <c r="M86" s="376"/>
      <c r="O86">
        <f>IF(F86=0,0,1)</f>
        <v>0</v>
      </c>
      <c r="P86">
        <f>O86+P68</f>
        <v>0</v>
      </c>
      <c r="Q86">
        <f>IF(O86&gt;0,P86,0)</f>
        <v>0</v>
      </c>
      <c r="R86">
        <f>F86</f>
        <v>0</v>
      </c>
      <c r="S86">
        <f>I86</f>
        <v>0</v>
      </c>
      <c r="T86" s="131">
        <f>B102</f>
        <v>0</v>
      </c>
      <c r="U86" s="131">
        <f>L101</f>
        <v>0</v>
      </c>
      <c r="V86" s="132">
        <f>G102</f>
        <v>0</v>
      </c>
      <c r="W86" s="132">
        <f>H102</f>
        <v>0</v>
      </c>
      <c r="X86" s="131" t="e">
        <f>M101</f>
        <v>#NUM!</v>
      </c>
    </row>
    <row r="87" spans="1:24" ht="15" customHeight="1" x14ac:dyDescent="0.3">
      <c r="A87" s="133" t="s">
        <v>241</v>
      </c>
      <c r="B87" s="379" t="s">
        <v>218</v>
      </c>
      <c r="C87" s="379"/>
      <c r="D87" s="379"/>
      <c r="E87" s="380" t="s">
        <v>219</v>
      </c>
      <c r="F87" s="380"/>
      <c r="G87" s="379" t="s">
        <v>220</v>
      </c>
      <c r="H87" s="379"/>
      <c r="I87" s="381" t="s">
        <v>221</v>
      </c>
      <c r="J87" s="381"/>
      <c r="K87" s="381"/>
      <c r="L87" s="382" t="s">
        <v>222</v>
      </c>
      <c r="M87" s="382" t="s">
        <v>211</v>
      </c>
    </row>
    <row r="88" spans="1:24" ht="45" customHeight="1" x14ac:dyDescent="0.3">
      <c r="A88" s="134" t="s">
        <v>223</v>
      </c>
      <c r="B88" s="134" t="s">
        <v>224</v>
      </c>
      <c r="C88" s="134" t="s">
        <v>225</v>
      </c>
      <c r="D88" s="134" t="s">
        <v>226</v>
      </c>
      <c r="E88" s="134" t="s">
        <v>227</v>
      </c>
      <c r="F88" s="134" t="s">
        <v>228</v>
      </c>
      <c r="G88" s="134" t="s">
        <v>229</v>
      </c>
      <c r="H88" s="134" t="s">
        <v>230</v>
      </c>
      <c r="I88" s="134" t="s">
        <v>231</v>
      </c>
      <c r="J88" s="134" t="s">
        <v>232</v>
      </c>
      <c r="K88" s="134" t="s">
        <v>233</v>
      </c>
      <c r="L88" s="382"/>
      <c r="M88" s="382"/>
    </row>
    <row r="89" spans="1:24" x14ac:dyDescent="0.3">
      <c r="A89" s="135">
        <v>44673</v>
      </c>
      <c r="B89" s="136"/>
      <c r="C89" s="136"/>
      <c r="D89" s="136"/>
      <c r="E89" s="144"/>
      <c r="F89" s="144"/>
      <c r="G89" s="137"/>
      <c r="H89" s="137"/>
      <c r="I89" s="145"/>
      <c r="J89" s="145"/>
      <c r="K89" s="145"/>
      <c r="L89" s="138">
        <f t="shared" ref="L89:L100" si="15">IFERROR((AVERAGE(I89:K89)),0)</f>
        <v>0</v>
      </c>
      <c r="M89" s="138" t="e">
        <f>(L89)/'RTR '!$J$5</f>
        <v>#NUM!</v>
      </c>
    </row>
    <row r="90" spans="1:24" x14ac:dyDescent="0.3">
      <c r="A90" s="139">
        <f t="shared" ref="A90:A100" si="16">A89-30</f>
        <v>44643</v>
      </c>
      <c r="B90" s="136"/>
      <c r="C90" s="136"/>
      <c r="D90" s="136"/>
      <c r="E90" s="144"/>
      <c r="F90" s="144"/>
      <c r="G90" s="137"/>
      <c r="H90" s="137"/>
      <c r="I90" s="145"/>
      <c r="J90" s="145"/>
      <c r="K90" s="145"/>
      <c r="L90" s="138">
        <f t="shared" si="15"/>
        <v>0</v>
      </c>
      <c r="M90" s="138" t="e">
        <f>(L90)/'RTR '!$J$5</f>
        <v>#NUM!</v>
      </c>
    </row>
    <row r="91" spans="1:24" x14ac:dyDescent="0.3">
      <c r="A91" s="139">
        <f t="shared" si="16"/>
        <v>44613</v>
      </c>
      <c r="B91" s="136"/>
      <c r="C91" s="136"/>
      <c r="D91" s="136"/>
      <c r="E91" s="144"/>
      <c r="F91" s="144"/>
      <c r="G91" s="137"/>
      <c r="H91" s="137"/>
      <c r="I91" s="145"/>
      <c r="J91" s="145"/>
      <c r="K91" s="145"/>
      <c r="L91" s="138">
        <f t="shared" si="15"/>
        <v>0</v>
      </c>
      <c r="M91" s="138" t="e">
        <f>(L91)/'RTR '!$J$5</f>
        <v>#NUM!</v>
      </c>
    </row>
    <row r="92" spans="1:24" x14ac:dyDescent="0.3">
      <c r="A92" s="139">
        <f t="shared" si="16"/>
        <v>44583</v>
      </c>
      <c r="B92" s="136"/>
      <c r="C92" s="136"/>
      <c r="D92" s="136"/>
      <c r="E92" s="144"/>
      <c r="F92" s="144"/>
      <c r="G92" s="137"/>
      <c r="H92" s="137"/>
      <c r="I92" s="145"/>
      <c r="J92" s="145"/>
      <c r="K92" s="145"/>
      <c r="L92" s="138">
        <f t="shared" si="15"/>
        <v>0</v>
      </c>
      <c r="M92" s="138" t="e">
        <f>(L92)/'RTR '!$J$5</f>
        <v>#NUM!</v>
      </c>
    </row>
    <row r="93" spans="1:24" x14ac:dyDescent="0.3">
      <c r="A93" s="139">
        <f t="shared" si="16"/>
        <v>44553</v>
      </c>
      <c r="B93" s="136"/>
      <c r="C93" s="136"/>
      <c r="D93" s="136"/>
      <c r="E93" s="144"/>
      <c r="F93" s="144"/>
      <c r="G93" s="137"/>
      <c r="H93" s="137"/>
      <c r="I93" s="145"/>
      <c r="J93" s="145"/>
      <c r="K93" s="145"/>
      <c r="L93" s="138">
        <f t="shared" si="15"/>
        <v>0</v>
      </c>
      <c r="M93" s="138" t="e">
        <f>(L93)/'RTR '!$J$5</f>
        <v>#NUM!</v>
      </c>
    </row>
    <row r="94" spans="1:24" x14ac:dyDescent="0.3">
      <c r="A94" s="139">
        <f t="shared" si="16"/>
        <v>44523</v>
      </c>
      <c r="B94" s="136"/>
      <c r="C94" s="136"/>
      <c r="D94" s="136"/>
      <c r="E94" s="144"/>
      <c r="F94" s="144"/>
      <c r="G94" s="137"/>
      <c r="H94" s="137"/>
      <c r="I94" s="145"/>
      <c r="J94" s="145"/>
      <c r="K94" s="145"/>
      <c r="L94" s="138">
        <f t="shared" si="15"/>
        <v>0</v>
      </c>
      <c r="M94" s="138" t="e">
        <f>(L94)/'RTR '!$J$5</f>
        <v>#NUM!</v>
      </c>
    </row>
    <row r="95" spans="1:24" x14ac:dyDescent="0.3">
      <c r="A95" s="139">
        <f t="shared" si="16"/>
        <v>44493</v>
      </c>
      <c r="B95" s="136"/>
      <c r="C95" s="136"/>
      <c r="D95" s="136"/>
      <c r="E95" s="144"/>
      <c r="F95" s="144"/>
      <c r="G95" s="137"/>
      <c r="H95" s="137"/>
      <c r="I95" s="145"/>
      <c r="J95" s="145"/>
      <c r="K95" s="145"/>
      <c r="L95" s="138">
        <f t="shared" si="15"/>
        <v>0</v>
      </c>
      <c r="M95" s="138" t="e">
        <f>(L95)/'RTR '!$J$5</f>
        <v>#NUM!</v>
      </c>
    </row>
    <row r="96" spans="1:24" x14ac:dyDescent="0.3">
      <c r="A96" s="139">
        <f t="shared" si="16"/>
        <v>44463</v>
      </c>
      <c r="B96" s="136"/>
      <c r="C96" s="136"/>
      <c r="D96" s="136"/>
      <c r="E96" s="144"/>
      <c r="F96" s="144"/>
      <c r="G96" s="137"/>
      <c r="H96" s="137"/>
      <c r="I96" s="145"/>
      <c r="J96" s="145"/>
      <c r="K96" s="145"/>
      <c r="L96" s="138">
        <f t="shared" si="15"/>
        <v>0</v>
      </c>
      <c r="M96" s="138" t="e">
        <f>(L96)/'RTR '!$J$5</f>
        <v>#NUM!</v>
      </c>
    </row>
    <row r="97" spans="1:24" x14ac:dyDescent="0.3">
      <c r="A97" s="139">
        <f t="shared" si="16"/>
        <v>44433</v>
      </c>
      <c r="B97" s="136"/>
      <c r="C97" s="136"/>
      <c r="D97" s="136"/>
      <c r="E97" s="144"/>
      <c r="F97" s="144"/>
      <c r="G97" s="137"/>
      <c r="H97" s="137"/>
      <c r="I97" s="145"/>
      <c r="J97" s="145"/>
      <c r="K97" s="145"/>
      <c r="L97" s="138">
        <f t="shared" si="15"/>
        <v>0</v>
      </c>
      <c r="M97" s="138" t="e">
        <f>(L97)/'RTR '!$J$5</f>
        <v>#NUM!</v>
      </c>
    </row>
    <row r="98" spans="1:24" x14ac:dyDescent="0.3">
      <c r="A98" s="139">
        <f t="shared" si="16"/>
        <v>44403</v>
      </c>
      <c r="B98" s="136"/>
      <c r="C98" s="136"/>
      <c r="D98" s="136"/>
      <c r="E98" s="144"/>
      <c r="F98" s="144"/>
      <c r="G98" s="137"/>
      <c r="H98" s="137"/>
      <c r="I98" s="145"/>
      <c r="J98" s="145"/>
      <c r="K98" s="145"/>
      <c r="L98" s="138">
        <f t="shared" si="15"/>
        <v>0</v>
      </c>
      <c r="M98" s="138" t="e">
        <f>(L98)/'RTR '!$J$5</f>
        <v>#NUM!</v>
      </c>
    </row>
    <row r="99" spans="1:24" x14ac:dyDescent="0.3">
      <c r="A99" s="139">
        <f t="shared" si="16"/>
        <v>44373</v>
      </c>
      <c r="B99" s="136"/>
      <c r="C99" s="136"/>
      <c r="D99" s="136"/>
      <c r="E99" s="144"/>
      <c r="F99" s="144"/>
      <c r="G99" s="137"/>
      <c r="H99" s="137"/>
      <c r="I99" s="145"/>
      <c r="J99" s="145"/>
      <c r="K99" s="145"/>
      <c r="L99" s="138">
        <f t="shared" si="15"/>
        <v>0</v>
      </c>
      <c r="M99" s="138" t="e">
        <f>(L99)/'RTR '!$J$5</f>
        <v>#NUM!</v>
      </c>
    </row>
    <row r="100" spans="1:24" x14ac:dyDescent="0.3">
      <c r="A100" s="139">
        <f t="shared" si="16"/>
        <v>44343</v>
      </c>
      <c r="B100" s="136"/>
      <c r="C100" s="136"/>
      <c r="D100" s="136"/>
      <c r="E100" s="144"/>
      <c r="F100" s="144"/>
      <c r="G100" s="137"/>
      <c r="H100" s="137"/>
      <c r="I100" s="145"/>
      <c r="J100" s="145"/>
      <c r="K100" s="145"/>
      <c r="L100" s="138">
        <f t="shared" si="15"/>
        <v>0</v>
      </c>
      <c r="M100" s="138" t="e">
        <f>(L100)/'RTR '!$J$5</f>
        <v>#NUM!</v>
      </c>
    </row>
    <row r="101" spans="1:24" x14ac:dyDescent="0.3">
      <c r="A101" s="140" t="s">
        <v>234</v>
      </c>
      <c r="B101" s="141">
        <f>IFERROR(AVERAGE(B89:B100),0)</f>
        <v>0</v>
      </c>
      <c r="C101" s="141">
        <f>IFERROR(AVERAGE(C89:C100),0)</f>
        <v>0</v>
      </c>
      <c r="D101" s="141">
        <f>IFERROR(AVERAGE(D89:D100),0)</f>
        <v>0</v>
      </c>
      <c r="E101" s="142">
        <f>SUM(E89:E100)</f>
        <v>0</v>
      </c>
      <c r="F101" s="142">
        <f>SUM(F89:F100)</f>
        <v>0</v>
      </c>
      <c r="G101" s="142">
        <f>SUM(G89:G100)</f>
        <v>0</v>
      </c>
      <c r="H101" s="142">
        <f>SUM(H89:H100)</f>
        <v>0</v>
      </c>
      <c r="I101" s="383"/>
      <c r="J101" s="383"/>
      <c r="K101" s="383"/>
      <c r="L101" s="384">
        <f>IFERROR(AVERAGE(I89:K100),0)</f>
        <v>0</v>
      </c>
      <c r="M101" s="385" t="e">
        <f>(L101)/'RTR '!J5</f>
        <v>#NUM!</v>
      </c>
    </row>
    <row r="102" spans="1:24" x14ac:dyDescent="0.3">
      <c r="A102" s="140" t="s">
        <v>235</v>
      </c>
      <c r="B102" s="143">
        <f>IF(B101=0,0,((SUM(B89:B100)/COUNT(B89:B100))*12))</f>
        <v>0</v>
      </c>
      <c r="C102" s="143">
        <f>IF(C101=0,0,((SUM(C89:C100)/COUNT(C89:C100))*12))</f>
        <v>0</v>
      </c>
      <c r="D102" s="143">
        <f>IF(D101=0,0,((SUM(D89:D100)/COUNT(D89:D100))*12))</f>
        <v>0</v>
      </c>
      <c r="E102" s="386" t="s">
        <v>236</v>
      </c>
      <c r="F102" s="386"/>
      <c r="G102" s="127">
        <f>IF(IFERROR(G101/E101,0),G101/E101,0)</f>
        <v>0</v>
      </c>
      <c r="H102" s="127">
        <f>IF(IFERROR(H101/F101,0),H101/F101,0)</f>
        <v>0</v>
      </c>
      <c r="I102" s="383"/>
      <c r="J102" s="383"/>
      <c r="K102" s="383"/>
      <c r="L102" s="384"/>
      <c r="M102" s="384"/>
    </row>
    <row r="104" spans="1:24" x14ac:dyDescent="0.3">
      <c r="A104" s="129" t="s">
        <v>213</v>
      </c>
      <c r="B104" s="376"/>
      <c r="C104" s="376"/>
      <c r="D104" s="377" t="s">
        <v>214</v>
      </c>
      <c r="E104" s="377"/>
      <c r="F104" s="376"/>
      <c r="G104" s="376"/>
      <c r="H104" s="129" t="s">
        <v>215</v>
      </c>
      <c r="I104" s="378"/>
      <c r="J104" s="378"/>
      <c r="K104" s="129" t="s">
        <v>216</v>
      </c>
      <c r="L104" s="376"/>
      <c r="M104" s="376"/>
      <c r="O104">
        <f>IF(F104=0,0,1)</f>
        <v>0</v>
      </c>
      <c r="P104">
        <f>O104+P86</f>
        <v>0</v>
      </c>
      <c r="Q104">
        <f>IF(O104&gt;0,P104,0)</f>
        <v>0</v>
      </c>
      <c r="R104">
        <f>F104</f>
        <v>0</v>
      </c>
      <c r="S104">
        <f>I104</f>
        <v>0</v>
      </c>
      <c r="T104" s="131">
        <f>B120</f>
        <v>0</v>
      </c>
      <c r="U104" s="131">
        <f>L119</f>
        <v>0</v>
      </c>
      <c r="V104" s="132">
        <f>G120</f>
        <v>0</v>
      </c>
      <c r="W104" s="132">
        <f>H120</f>
        <v>0</v>
      </c>
      <c r="X104" s="131" t="e">
        <f>M119</f>
        <v>#NUM!</v>
      </c>
    </row>
    <row r="105" spans="1:24" ht="15" customHeight="1" x14ac:dyDescent="0.3">
      <c r="A105" s="133" t="s">
        <v>242</v>
      </c>
      <c r="B105" s="379" t="s">
        <v>218</v>
      </c>
      <c r="C105" s="379"/>
      <c r="D105" s="379"/>
      <c r="E105" s="380" t="s">
        <v>219</v>
      </c>
      <c r="F105" s="380"/>
      <c r="G105" s="379" t="s">
        <v>220</v>
      </c>
      <c r="H105" s="379"/>
      <c r="I105" s="381" t="s">
        <v>221</v>
      </c>
      <c r="J105" s="381"/>
      <c r="K105" s="381"/>
      <c r="L105" s="382" t="s">
        <v>222</v>
      </c>
      <c r="M105" s="382" t="s">
        <v>211</v>
      </c>
    </row>
    <row r="106" spans="1:24" ht="45" customHeight="1" x14ac:dyDescent="0.3">
      <c r="A106" s="134" t="s">
        <v>223</v>
      </c>
      <c r="B106" s="134" t="s">
        <v>224</v>
      </c>
      <c r="C106" s="134" t="s">
        <v>225</v>
      </c>
      <c r="D106" s="134" t="s">
        <v>226</v>
      </c>
      <c r="E106" s="134" t="s">
        <v>227</v>
      </c>
      <c r="F106" s="134" t="s">
        <v>228</v>
      </c>
      <c r="G106" s="134" t="s">
        <v>229</v>
      </c>
      <c r="H106" s="134" t="s">
        <v>230</v>
      </c>
      <c r="I106" s="134" t="s">
        <v>231</v>
      </c>
      <c r="J106" s="134" t="s">
        <v>232</v>
      </c>
      <c r="K106" s="134" t="s">
        <v>233</v>
      </c>
      <c r="L106" s="382"/>
      <c r="M106" s="382"/>
    </row>
    <row r="107" spans="1:24" x14ac:dyDescent="0.3">
      <c r="A107" s="135">
        <v>44673</v>
      </c>
      <c r="B107" s="136"/>
      <c r="C107" s="136"/>
      <c r="D107" s="136"/>
      <c r="E107" s="144"/>
      <c r="F107" s="144"/>
      <c r="G107" s="137"/>
      <c r="H107" s="137"/>
      <c r="I107" s="145"/>
      <c r="J107" s="145"/>
      <c r="K107" s="145"/>
      <c r="L107" s="138">
        <f t="shared" ref="L107:L118" si="17">IFERROR((AVERAGE(I107:K107)),0)</f>
        <v>0</v>
      </c>
      <c r="M107" s="138" t="e">
        <f>(L107)/'RTR '!$J$5</f>
        <v>#NUM!</v>
      </c>
    </row>
    <row r="108" spans="1:24" x14ac:dyDescent="0.3">
      <c r="A108" s="139">
        <f t="shared" ref="A108:A118" si="18">A107-30</f>
        <v>44643</v>
      </c>
      <c r="B108" s="136"/>
      <c r="C108" s="136"/>
      <c r="D108" s="136"/>
      <c r="E108" s="144"/>
      <c r="F108" s="144"/>
      <c r="G108" s="137"/>
      <c r="H108" s="137"/>
      <c r="I108" s="145"/>
      <c r="J108" s="145"/>
      <c r="K108" s="145"/>
      <c r="L108" s="138">
        <f t="shared" si="17"/>
        <v>0</v>
      </c>
      <c r="M108" s="138" t="e">
        <f>(L108)/'RTR '!$J$5</f>
        <v>#NUM!</v>
      </c>
    </row>
    <row r="109" spans="1:24" x14ac:dyDescent="0.3">
      <c r="A109" s="139">
        <f t="shared" si="18"/>
        <v>44613</v>
      </c>
      <c r="B109" s="136"/>
      <c r="C109" s="136"/>
      <c r="D109" s="136"/>
      <c r="E109" s="144"/>
      <c r="F109" s="144"/>
      <c r="G109" s="137"/>
      <c r="H109" s="137"/>
      <c r="I109" s="145"/>
      <c r="J109" s="145"/>
      <c r="K109" s="145"/>
      <c r="L109" s="138">
        <f t="shared" si="17"/>
        <v>0</v>
      </c>
      <c r="M109" s="138" t="e">
        <f>(L109)/'RTR '!$J$5</f>
        <v>#NUM!</v>
      </c>
    </row>
    <row r="110" spans="1:24" x14ac:dyDescent="0.3">
      <c r="A110" s="139">
        <f t="shared" si="18"/>
        <v>44583</v>
      </c>
      <c r="B110" s="136"/>
      <c r="C110" s="136"/>
      <c r="D110" s="136"/>
      <c r="E110" s="144"/>
      <c r="F110" s="144"/>
      <c r="G110" s="137"/>
      <c r="H110" s="137"/>
      <c r="I110" s="145"/>
      <c r="J110" s="145"/>
      <c r="K110" s="145"/>
      <c r="L110" s="138">
        <f t="shared" si="17"/>
        <v>0</v>
      </c>
      <c r="M110" s="138" t="e">
        <f>(L110)/'RTR '!$J$5</f>
        <v>#NUM!</v>
      </c>
    </row>
    <row r="111" spans="1:24" x14ac:dyDescent="0.3">
      <c r="A111" s="139">
        <f t="shared" si="18"/>
        <v>44553</v>
      </c>
      <c r="B111" s="136"/>
      <c r="C111" s="136"/>
      <c r="D111" s="136"/>
      <c r="E111" s="144"/>
      <c r="F111" s="144"/>
      <c r="G111" s="137"/>
      <c r="H111" s="137"/>
      <c r="I111" s="145"/>
      <c r="J111" s="145"/>
      <c r="K111" s="145"/>
      <c r="L111" s="138">
        <f t="shared" si="17"/>
        <v>0</v>
      </c>
      <c r="M111" s="138" t="e">
        <f>(L111)/'RTR '!$J$5</f>
        <v>#NUM!</v>
      </c>
    </row>
    <row r="112" spans="1:24" x14ac:dyDescent="0.3">
      <c r="A112" s="139">
        <f t="shared" si="18"/>
        <v>44523</v>
      </c>
      <c r="B112" s="136"/>
      <c r="C112" s="136"/>
      <c r="D112" s="136"/>
      <c r="E112" s="144"/>
      <c r="F112" s="144"/>
      <c r="G112" s="137"/>
      <c r="H112" s="137"/>
      <c r="I112" s="145"/>
      <c r="J112" s="145"/>
      <c r="K112" s="145"/>
      <c r="L112" s="138">
        <f t="shared" si="17"/>
        <v>0</v>
      </c>
      <c r="M112" s="138" t="e">
        <f>(L112)/'RTR '!$J$5</f>
        <v>#NUM!</v>
      </c>
    </row>
    <row r="113" spans="1:24" x14ac:dyDescent="0.3">
      <c r="A113" s="139">
        <f t="shared" si="18"/>
        <v>44493</v>
      </c>
      <c r="B113" s="136"/>
      <c r="C113" s="136"/>
      <c r="D113" s="136"/>
      <c r="E113" s="144"/>
      <c r="F113" s="144"/>
      <c r="G113" s="137"/>
      <c r="H113" s="137"/>
      <c r="I113" s="145"/>
      <c r="J113" s="145"/>
      <c r="K113" s="145"/>
      <c r="L113" s="138">
        <f t="shared" si="17"/>
        <v>0</v>
      </c>
      <c r="M113" s="138" t="e">
        <f>(L113)/'RTR '!$J$5</f>
        <v>#NUM!</v>
      </c>
    </row>
    <row r="114" spans="1:24" x14ac:dyDescent="0.3">
      <c r="A114" s="139">
        <f t="shared" si="18"/>
        <v>44463</v>
      </c>
      <c r="B114" s="136"/>
      <c r="C114" s="136"/>
      <c r="D114" s="136"/>
      <c r="E114" s="144"/>
      <c r="F114" s="144"/>
      <c r="G114" s="137"/>
      <c r="H114" s="137"/>
      <c r="I114" s="145"/>
      <c r="J114" s="145"/>
      <c r="K114" s="145"/>
      <c r="L114" s="138">
        <f t="shared" si="17"/>
        <v>0</v>
      </c>
      <c r="M114" s="138" t="e">
        <f>(L114)/'RTR '!$J$5</f>
        <v>#NUM!</v>
      </c>
    </row>
    <row r="115" spans="1:24" x14ac:dyDescent="0.3">
      <c r="A115" s="139">
        <f t="shared" si="18"/>
        <v>44433</v>
      </c>
      <c r="B115" s="136"/>
      <c r="C115" s="136"/>
      <c r="D115" s="136"/>
      <c r="E115" s="144"/>
      <c r="F115" s="144"/>
      <c r="G115" s="137"/>
      <c r="H115" s="137"/>
      <c r="I115" s="145"/>
      <c r="J115" s="145"/>
      <c r="K115" s="145"/>
      <c r="L115" s="138">
        <f t="shared" si="17"/>
        <v>0</v>
      </c>
      <c r="M115" s="138" t="e">
        <f>(L115)/'RTR '!$J$5</f>
        <v>#NUM!</v>
      </c>
    </row>
    <row r="116" spans="1:24" x14ac:dyDescent="0.3">
      <c r="A116" s="139">
        <f t="shared" si="18"/>
        <v>44403</v>
      </c>
      <c r="B116" s="136"/>
      <c r="C116" s="136"/>
      <c r="D116" s="136"/>
      <c r="E116" s="144"/>
      <c r="F116" s="144"/>
      <c r="G116" s="137"/>
      <c r="H116" s="137"/>
      <c r="I116" s="145"/>
      <c r="J116" s="145"/>
      <c r="K116" s="145"/>
      <c r="L116" s="138">
        <f t="shared" si="17"/>
        <v>0</v>
      </c>
      <c r="M116" s="138" t="e">
        <f>(L116)/'RTR '!$J$5</f>
        <v>#NUM!</v>
      </c>
    </row>
    <row r="117" spans="1:24" x14ac:dyDescent="0.3">
      <c r="A117" s="139">
        <f t="shared" si="18"/>
        <v>44373</v>
      </c>
      <c r="B117" s="136"/>
      <c r="C117" s="136"/>
      <c r="D117" s="136"/>
      <c r="E117" s="144"/>
      <c r="F117" s="144"/>
      <c r="G117" s="137"/>
      <c r="H117" s="137"/>
      <c r="I117" s="145"/>
      <c r="J117" s="145"/>
      <c r="K117" s="145"/>
      <c r="L117" s="138">
        <f t="shared" si="17"/>
        <v>0</v>
      </c>
      <c r="M117" s="138" t="e">
        <f>(L117)/'RTR '!$J$5</f>
        <v>#NUM!</v>
      </c>
    </row>
    <row r="118" spans="1:24" x14ac:dyDescent="0.3">
      <c r="A118" s="139">
        <f t="shared" si="18"/>
        <v>44343</v>
      </c>
      <c r="B118" s="136"/>
      <c r="C118" s="136"/>
      <c r="D118" s="136"/>
      <c r="E118" s="144"/>
      <c r="F118" s="144"/>
      <c r="G118" s="137"/>
      <c r="H118" s="137"/>
      <c r="I118" s="145"/>
      <c r="J118" s="145"/>
      <c r="K118" s="145"/>
      <c r="L118" s="138">
        <f t="shared" si="17"/>
        <v>0</v>
      </c>
      <c r="M118" s="138" t="e">
        <f>(L118)/'RTR '!$J$5</f>
        <v>#NUM!</v>
      </c>
    </row>
    <row r="119" spans="1:24" x14ac:dyDescent="0.3">
      <c r="A119" s="140" t="s">
        <v>234</v>
      </c>
      <c r="B119" s="141">
        <f>IFERROR(AVERAGE(B107:B118),0)</f>
        <v>0</v>
      </c>
      <c r="C119" s="141">
        <f>IFERROR(AVERAGE(C107:C118),0)</f>
        <v>0</v>
      </c>
      <c r="D119" s="141">
        <f>IFERROR(AVERAGE(D107:D118),0)</f>
        <v>0</v>
      </c>
      <c r="E119" s="142">
        <f>SUM(E107:E118)</f>
        <v>0</v>
      </c>
      <c r="F119" s="142">
        <f>SUM(F107:F118)</f>
        <v>0</v>
      </c>
      <c r="G119" s="142">
        <f>SUM(G107:G118)</f>
        <v>0</v>
      </c>
      <c r="H119" s="142">
        <f>SUM(H107:H118)</f>
        <v>0</v>
      </c>
      <c r="I119" s="383"/>
      <c r="J119" s="383"/>
      <c r="K119" s="383"/>
      <c r="L119" s="384">
        <f>IFERROR(AVERAGE(I107:K118),0)</f>
        <v>0</v>
      </c>
      <c r="M119" s="385" t="e">
        <f>(L119)/'RTR '!J5</f>
        <v>#NUM!</v>
      </c>
    </row>
    <row r="120" spans="1:24" x14ac:dyDescent="0.3">
      <c r="A120" s="140" t="s">
        <v>235</v>
      </c>
      <c r="B120" s="143">
        <f>IF(B119=0,0,((SUM(B107:B118)/COUNT(B107:B118))*12))</f>
        <v>0</v>
      </c>
      <c r="C120" s="143">
        <f>IF(C119=0,0,((SUM(C107:C118)/COUNT(C107:C118))*12))</f>
        <v>0</v>
      </c>
      <c r="D120" s="143">
        <f>IF(D119=0,0,((SUM(D107:D118)/COUNT(D107:D118))*12))</f>
        <v>0</v>
      </c>
      <c r="E120" s="386" t="s">
        <v>236</v>
      </c>
      <c r="F120" s="386"/>
      <c r="G120" s="127">
        <f>IF(IFERROR(G119/E119,0),G119/E119,0)</f>
        <v>0</v>
      </c>
      <c r="H120" s="127">
        <f>IF(IFERROR(H119/F119,0),H119/F119,0)</f>
        <v>0</v>
      </c>
      <c r="I120" s="383"/>
      <c r="J120" s="383"/>
      <c r="K120" s="383"/>
      <c r="L120" s="384"/>
      <c r="M120" s="384"/>
    </row>
    <row r="122" spans="1:24" x14ac:dyDescent="0.3">
      <c r="A122" s="129" t="s">
        <v>213</v>
      </c>
      <c r="B122" s="376"/>
      <c r="C122" s="376"/>
      <c r="D122" s="377" t="s">
        <v>214</v>
      </c>
      <c r="E122" s="377"/>
      <c r="F122" s="376"/>
      <c r="G122" s="376"/>
      <c r="H122" s="377" t="s">
        <v>215</v>
      </c>
      <c r="I122" s="377"/>
      <c r="J122" s="378" t="s">
        <v>243</v>
      </c>
      <c r="K122" s="378"/>
      <c r="L122" s="129" t="s">
        <v>216</v>
      </c>
      <c r="M122" s="130"/>
      <c r="O122">
        <f>IF(F122=0,0,1)</f>
        <v>0</v>
      </c>
      <c r="P122">
        <f>O122+P104</f>
        <v>0</v>
      </c>
      <c r="Q122">
        <f>IF(O122&gt;0,P122,0)</f>
        <v>0</v>
      </c>
      <c r="R122">
        <f>F122</f>
        <v>0</v>
      </c>
      <c r="S122" t="str">
        <f>J122</f>
        <v>OD</v>
      </c>
      <c r="T122" s="131">
        <f>B138</f>
        <v>0</v>
      </c>
      <c r="U122" s="131">
        <f>M137</f>
        <v>0</v>
      </c>
      <c r="V122" s="132">
        <f>G138</f>
        <v>0</v>
      </c>
      <c r="W122" s="132">
        <f>H138</f>
        <v>0</v>
      </c>
      <c r="X122" s="131" t="e">
        <f>(M137*10^5)/'RTR '!J5</f>
        <v>#NUM!</v>
      </c>
    </row>
    <row r="123" spans="1:24" ht="15" customHeight="1" x14ac:dyDescent="0.3">
      <c r="A123" s="133" t="s">
        <v>244</v>
      </c>
      <c r="B123" s="379" t="s">
        <v>218</v>
      </c>
      <c r="C123" s="379"/>
      <c r="D123" s="379"/>
      <c r="E123" s="380" t="s">
        <v>219</v>
      </c>
      <c r="F123" s="380"/>
      <c r="G123" s="379" t="s">
        <v>220</v>
      </c>
      <c r="H123" s="379"/>
      <c r="I123" s="387" t="s">
        <v>245</v>
      </c>
      <c r="J123" s="381" t="s">
        <v>221</v>
      </c>
      <c r="K123" s="381"/>
      <c r="L123" s="381"/>
      <c r="M123" s="382" t="s">
        <v>246</v>
      </c>
    </row>
    <row r="124" spans="1:24" ht="45" customHeight="1" x14ac:dyDescent="0.3">
      <c r="A124" s="134" t="s">
        <v>223</v>
      </c>
      <c r="B124" s="134" t="s">
        <v>247</v>
      </c>
      <c r="C124" s="134" t="s">
        <v>225</v>
      </c>
      <c r="D124" s="134" t="s">
        <v>226</v>
      </c>
      <c r="E124" s="134" t="s">
        <v>227</v>
      </c>
      <c r="F124" s="134" t="s">
        <v>228</v>
      </c>
      <c r="G124" s="134" t="s">
        <v>229</v>
      </c>
      <c r="H124" s="134" t="s">
        <v>230</v>
      </c>
      <c r="I124" s="387"/>
      <c r="J124" s="134" t="s">
        <v>231</v>
      </c>
      <c r="K124" s="134" t="s">
        <v>232</v>
      </c>
      <c r="L124" s="134" t="s">
        <v>233</v>
      </c>
      <c r="M124" s="382"/>
    </row>
    <row r="125" spans="1:24" x14ac:dyDescent="0.3">
      <c r="A125" s="135">
        <v>44673</v>
      </c>
      <c r="B125" s="136"/>
      <c r="C125" s="136"/>
      <c r="D125" s="136"/>
      <c r="E125" s="144"/>
      <c r="F125" s="144"/>
      <c r="G125" s="137"/>
      <c r="H125" s="137"/>
      <c r="I125" s="136"/>
      <c r="J125" s="145"/>
      <c r="K125" s="145"/>
      <c r="L125" s="145"/>
      <c r="M125" s="138">
        <f t="shared" ref="M125:M136" si="19">IFERROR(((I125-AVERAGE(J125:L125))),0)</f>
        <v>0</v>
      </c>
    </row>
    <row r="126" spans="1:24" x14ac:dyDescent="0.3">
      <c r="A126" s="139">
        <f t="shared" ref="A126:A136" si="20">A125-30</f>
        <v>44643</v>
      </c>
      <c r="B126" s="136"/>
      <c r="C126" s="136"/>
      <c r="D126" s="136"/>
      <c r="E126" s="144"/>
      <c r="F126" s="144"/>
      <c r="G126" s="137"/>
      <c r="H126" s="137"/>
      <c r="I126" s="136"/>
      <c r="J126" s="145"/>
      <c r="K126" s="145"/>
      <c r="L126" s="145"/>
      <c r="M126" s="138">
        <f t="shared" si="19"/>
        <v>0</v>
      </c>
    </row>
    <row r="127" spans="1:24" x14ac:dyDescent="0.3">
      <c r="A127" s="139">
        <f t="shared" si="20"/>
        <v>44613</v>
      </c>
      <c r="B127" s="136"/>
      <c r="C127" s="136"/>
      <c r="D127" s="136"/>
      <c r="E127" s="144"/>
      <c r="F127" s="144"/>
      <c r="G127" s="137"/>
      <c r="H127" s="137"/>
      <c r="I127" s="136"/>
      <c r="J127" s="145"/>
      <c r="K127" s="145"/>
      <c r="L127" s="145"/>
      <c r="M127" s="138">
        <f t="shared" si="19"/>
        <v>0</v>
      </c>
    </row>
    <row r="128" spans="1:24" x14ac:dyDescent="0.3">
      <c r="A128" s="139">
        <f t="shared" si="20"/>
        <v>44583</v>
      </c>
      <c r="B128" s="136"/>
      <c r="C128" s="136"/>
      <c r="D128" s="136"/>
      <c r="E128" s="144"/>
      <c r="F128" s="144"/>
      <c r="G128" s="137"/>
      <c r="H128" s="137"/>
      <c r="I128" s="136"/>
      <c r="J128" s="145"/>
      <c r="K128" s="145"/>
      <c r="L128" s="145"/>
      <c r="M128" s="138">
        <f t="shared" si="19"/>
        <v>0</v>
      </c>
    </row>
    <row r="129" spans="1:24" x14ac:dyDescent="0.3">
      <c r="A129" s="139">
        <f t="shared" si="20"/>
        <v>44553</v>
      </c>
      <c r="B129" s="136"/>
      <c r="C129" s="136"/>
      <c r="D129" s="136"/>
      <c r="E129" s="144"/>
      <c r="F129" s="144"/>
      <c r="G129" s="137"/>
      <c r="H129" s="137"/>
      <c r="I129" s="136"/>
      <c r="J129" s="145"/>
      <c r="K129" s="145"/>
      <c r="L129" s="145"/>
      <c r="M129" s="138">
        <f t="shared" si="19"/>
        <v>0</v>
      </c>
    </row>
    <row r="130" spans="1:24" x14ac:dyDescent="0.3">
      <c r="A130" s="139">
        <f t="shared" si="20"/>
        <v>44523</v>
      </c>
      <c r="B130" s="136"/>
      <c r="C130" s="136"/>
      <c r="D130" s="136"/>
      <c r="E130" s="144"/>
      <c r="F130" s="144"/>
      <c r="G130" s="137"/>
      <c r="H130" s="137"/>
      <c r="I130" s="136"/>
      <c r="J130" s="145"/>
      <c r="K130" s="145"/>
      <c r="L130" s="145"/>
      <c r="M130" s="138">
        <f t="shared" si="19"/>
        <v>0</v>
      </c>
    </row>
    <row r="131" spans="1:24" x14ac:dyDescent="0.3">
      <c r="A131" s="139">
        <f t="shared" si="20"/>
        <v>44493</v>
      </c>
      <c r="B131" s="136"/>
      <c r="C131" s="136"/>
      <c r="D131" s="136"/>
      <c r="E131" s="144"/>
      <c r="F131" s="144"/>
      <c r="G131" s="137"/>
      <c r="H131" s="137"/>
      <c r="I131" s="136"/>
      <c r="J131" s="145"/>
      <c r="K131" s="145"/>
      <c r="L131" s="145"/>
      <c r="M131" s="138">
        <f t="shared" si="19"/>
        <v>0</v>
      </c>
    </row>
    <row r="132" spans="1:24" x14ac:dyDescent="0.3">
      <c r="A132" s="139">
        <f t="shared" si="20"/>
        <v>44463</v>
      </c>
      <c r="B132" s="136"/>
      <c r="C132" s="136"/>
      <c r="D132" s="136"/>
      <c r="E132" s="144"/>
      <c r="F132" s="144"/>
      <c r="G132" s="137"/>
      <c r="H132" s="137"/>
      <c r="I132" s="136"/>
      <c r="J132" s="145"/>
      <c r="K132" s="145"/>
      <c r="L132" s="145"/>
      <c r="M132" s="138">
        <f t="shared" si="19"/>
        <v>0</v>
      </c>
    </row>
    <row r="133" spans="1:24" x14ac:dyDescent="0.3">
      <c r="A133" s="139">
        <f t="shared" si="20"/>
        <v>44433</v>
      </c>
      <c r="B133" s="136"/>
      <c r="C133" s="136"/>
      <c r="D133" s="136"/>
      <c r="E133" s="144"/>
      <c r="F133" s="144"/>
      <c r="G133" s="137"/>
      <c r="H133" s="137"/>
      <c r="I133" s="136"/>
      <c r="J133" s="145"/>
      <c r="K133" s="145"/>
      <c r="L133" s="145"/>
      <c r="M133" s="138">
        <f t="shared" si="19"/>
        <v>0</v>
      </c>
    </row>
    <row r="134" spans="1:24" x14ac:dyDescent="0.3">
      <c r="A134" s="139">
        <f t="shared" si="20"/>
        <v>44403</v>
      </c>
      <c r="B134" s="136"/>
      <c r="C134" s="136"/>
      <c r="D134" s="136"/>
      <c r="E134" s="144"/>
      <c r="F134" s="144"/>
      <c r="G134" s="137"/>
      <c r="H134" s="137"/>
      <c r="I134" s="136"/>
      <c r="J134" s="145"/>
      <c r="K134" s="145"/>
      <c r="L134" s="145"/>
      <c r="M134" s="138">
        <f t="shared" si="19"/>
        <v>0</v>
      </c>
    </row>
    <row r="135" spans="1:24" x14ac:dyDescent="0.3">
      <c r="A135" s="139">
        <f t="shared" si="20"/>
        <v>44373</v>
      </c>
      <c r="B135" s="136"/>
      <c r="C135" s="136"/>
      <c r="D135" s="136"/>
      <c r="E135" s="144"/>
      <c r="F135" s="144"/>
      <c r="G135" s="137"/>
      <c r="H135" s="137"/>
      <c r="I135" s="136"/>
      <c r="J135" s="145"/>
      <c r="K135" s="145"/>
      <c r="L135" s="145"/>
      <c r="M135" s="138">
        <f t="shared" si="19"/>
        <v>0</v>
      </c>
    </row>
    <row r="136" spans="1:24" x14ac:dyDescent="0.3">
      <c r="A136" s="139">
        <f t="shared" si="20"/>
        <v>44343</v>
      </c>
      <c r="B136" s="136"/>
      <c r="C136" s="136"/>
      <c r="D136" s="136"/>
      <c r="E136" s="144"/>
      <c r="F136" s="144"/>
      <c r="G136" s="137"/>
      <c r="H136" s="137"/>
      <c r="I136" s="136"/>
      <c r="J136" s="145"/>
      <c r="K136" s="145"/>
      <c r="L136" s="145"/>
      <c r="M136" s="138">
        <f t="shared" si="19"/>
        <v>0</v>
      </c>
    </row>
    <row r="137" spans="1:24" x14ac:dyDescent="0.3">
      <c r="A137" s="140" t="s">
        <v>234</v>
      </c>
      <c r="B137" s="141">
        <f>IFERROR(AVERAGE(B125:B136),0)</f>
        <v>0</v>
      </c>
      <c r="C137" s="141">
        <f>IFERROR(AVERAGE(C125:C136),0)</f>
        <v>0</v>
      </c>
      <c r="D137" s="141">
        <f>IFERROR(AVERAGE(D125:D136),0)</f>
        <v>0</v>
      </c>
      <c r="E137" s="142">
        <f>SUM(E125:E136)</f>
        <v>0</v>
      </c>
      <c r="F137" s="142">
        <f>SUM(F125:F136)</f>
        <v>0</v>
      </c>
      <c r="G137" s="142">
        <f>SUM(G125:G136)</f>
        <v>0</v>
      </c>
      <c r="H137" s="142">
        <f>SUM(H125:H136)</f>
        <v>0</v>
      </c>
      <c r="I137" s="388"/>
      <c r="J137" s="388"/>
      <c r="K137" s="388"/>
      <c r="L137" s="388"/>
      <c r="M137" s="384">
        <f>IFERROR(AVERAGE(M125:M136),0)</f>
        <v>0</v>
      </c>
    </row>
    <row r="138" spans="1:24" x14ac:dyDescent="0.3">
      <c r="A138" s="140" t="s">
        <v>235</v>
      </c>
      <c r="B138" s="143">
        <f>IF(B137=0,0,((SUM(B125:B136)/COUNT(B125:B136))*12))</f>
        <v>0</v>
      </c>
      <c r="C138" s="143">
        <f>IF(C137=0,0,((SUM(C125:C136)/COUNT(C125:C136))*12))</f>
        <v>0</v>
      </c>
      <c r="D138" s="143">
        <f>IF(D137=0,0,((SUM(D125:D136)/COUNT(D125:D136))*12))</f>
        <v>0</v>
      </c>
      <c r="E138" s="386" t="s">
        <v>236</v>
      </c>
      <c r="F138" s="386"/>
      <c r="G138" s="127">
        <f>IF(IFERROR(G137/E137,0),G137/E137,0)</f>
        <v>0</v>
      </c>
      <c r="H138" s="127">
        <f>IF(IFERROR(H137/F137,0),H137/F137,0)</f>
        <v>0</v>
      </c>
      <c r="I138" s="388"/>
      <c r="J138" s="388"/>
      <c r="K138" s="388"/>
      <c r="L138" s="388"/>
      <c r="M138" s="384"/>
    </row>
    <row r="140" spans="1:24" x14ac:dyDescent="0.3">
      <c r="A140" s="129" t="s">
        <v>213</v>
      </c>
      <c r="B140" s="376"/>
      <c r="C140" s="376"/>
      <c r="D140" s="377" t="s">
        <v>214</v>
      </c>
      <c r="E140" s="377"/>
      <c r="F140" s="376"/>
      <c r="G140" s="376"/>
      <c r="H140" s="377" t="s">
        <v>215</v>
      </c>
      <c r="I140" s="377"/>
      <c r="J140" s="378" t="s">
        <v>243</v>
      </c>
      <c r="K140" s="378"/>
      <c r="L140" s="129" t="s">
        <v>216</v>
      </c>
      <c r="M140" s="130"/>
      <c r="O140">
        <f>IF(F140=0,0,1)</f>
        <v>0</v>
      </c>
      <c r="P140">
        <f>O140+P122</f>
        <v>0</v>
      </c>
      <c r="Q140">
        <f>IF(O140&gt;0,P140,0)</f>
        <v>0</v>
      </c>
      <c r="R140">
        <f>F140</f>
        <v>0</v>
      </c>
      <c r="S140" t="str">
        <f>J140</f>
        <v>OD</v>
      </c>
      <c r="T140" s="131">
        <f>B156</f>
        <v>0</v>
      </c>
      <c r="U140" s="131">
        <f>M155</f>
        <v>0</v>
      </c>
      <c r="V140" s="132">
        <f>G156</f>
        <v>0</v>
      </c>
      <c r="W140" s="132">
        <f>H156</f>
        <v>0</v>
      </c>
      <c r="X140" s="131" t="e">
        <f>(M155*10^5)/'RTR '!J5</f>
        <v>#NUM!</v>
      </c>
    </row>
    <row r="141" spans="1:24" ht="14.25" customHeight="1" x14ac:dyDescent="0.3">
      <c r="A141" s="133" t="s">
        <v>248</v>
      </c>
      <c r="B141" s="379" t="s">
        <v>218</v>
      </c>
      <c r="C141" s="379"/>
      <c r="D141" s="379"/>
      <c r="E141" s="380" t="s">
        <v>219</v>
      </c>
      <c r="F141" s="380"/>
      <c r="G141" s="379" t="s">
        <v>220</v>
      </c>
      <c r="H141" s="379"/>
      <c r="I141" s="387" t="s">
        <v>245</v>
      </c>
      <c r="J141" s="381" t="s">
        <v>221</v>
      </c>
      <c r="K141" s="381"/>
      <c r="L141" s="381"/>
      <c r="M141" s="382" t="s">
        <v>246</v>
      </c>
    </row>
    <row r="142" spans="1:24" ht="45" customHeight="1" x14ac:dyDescent="0.3">
      <c r="A142" s="134" t="s">
        <v>223</v>
      </c>
      <c r="B142" s="134" t="s">
        <v>247</v>
      </c>
      <c r="C142" s="134" t="s">
        <v>225</v>
      </c>
      <c r="D142" s="134" t="s">
        <v>226</v>
      </c>
      <c r="E142" s="134" t="s">
        <v>227</v>
      </c>
      <c r="F142" s="134" t="s">
        <v>228</v>
      </c>
      <c r="G142" s="134" t="s">
        <v>229</v>
      </c>
      <c r="H142" s="134" t="s">
        <v>230</v>
      </c>
      <c r="I142" s="387"/>
      <c r="J142" s="134" t="s">
        <v>231</v>
      </c>
      <c r="K142" s="134" t="s">
        <v>232</v>
      </c>
      <c r="L142" s="134" t="s">
        <v>233</v>
      </c>
      <c r="M142" s="382"/>
    </row>
    <row r="143" spans="1:24" x14ac:dyDescent="0.3">
      <c r="A143" s="135">
        <v>44673</v>
      </c>
      <c r="B143" s="136"/>
      <c r="C143" s="136"/>
      <c r="D143" s="136"/>
      <c r="E143" s="144"/>
      <c r="F143" s="144"/>
      <c r="G143" s="137"/>
      <c r="H143" s="137"/>
      <c r="I143" s="136">
        <v>100</v>
      </c>
      <c r="J143" s="145">
        <v>100</v>
      </c>
      <c r="K143" s="145">
        <v>100</v>
      </c>
      <c r="L143" s="145">
        <v>100</v>
      </c>
      <c r="M143" s="138">
        <f t="shared" ref="M143:M154" si="21">IFERROR(((I143-AVERAGE(J143:L143))),0)</f>
        <v>0</v>
      </c>
    </row>
    <row r="144" spans="1:24" x14ac:dyDescent="0.3">
      <c r="A144" s="139">
        <f t="shared" ref="A144:A154" si="22">A143-30</f>
        <v>44643</v>
      </c>
      <c r="B144" s="136"/>
      <c r="C144" s="136"/>
      <c r="D144" s="136"/>
      <c r="E144" s="144"/>
      <c r="F144" s="144"/>
      <c r="G144" s="137"/>
      <c r="H144" s="137"/>
      <c r="I144" s="136">
        <v>100</v>
      </c>
      <c r="J144" s="145">
        <v>90</v>
      </c>
      <c r="K144" s="145">
        <v>90</v>
      </c>
      <c r="L144" s="145">
        <v>90</v>
      </c>
      <c r="M144" s="138">
        <f t="shared" si="21"/>
        <v>10</v>
      </c>
    </row>
    <row r="145" spans="1:13" x14ac:dyDescent="0.3">
      <c r="A145" s="139">
        <f t="shared" si="22"/>
        <v>44613</v>
      </c>
      <c r="B145" s="136"/>
      <c r="C145" s="136"/>
      <c r="D145" s="136"/>
      <c r="E145" s="144"/>
      <c r="F145" s="144"/>
      <c r="G145" s="137"/>
      <c r="H145" s="137"/>
      <c r="I145" s="136">
        <v>100</v>
      </c>
      <c r="J145" s="145">
        <v>110</v>
      </c>
      <c r="K145" s="145">
        <v>110</v>
      </c>
      <c r="L145" s="145">
        <v>110</v>
      </c>
      <c r="M145" s="138">
        <f t="shared" si="21"/>
        <v>-10</v>
      </c>
    </row>
    <row r="146" spans="1:13" x14ac:dyDescent="0.3">
      <c r="A146" s="139">
        <f t="shared" si="22"/>
        <v>44583</v>
      </c>
      <c r="B146" s="136"/>
      <c r="C146" s="136"/>
      <c r="D146" s="136"/>
      <c r="E146" s="144"/>
      <c r="F146" s="144"/>
      <c r="G146" s="137"/>
      <c r="H146" s="137"/>
      <c r="I146" s="136">
        <v>100</v>
      </c>
      <c r="J146" s="145">
        <v>110</v>
      </c>
      <c r="K146" s="145">
        <v>90</v>
      </c>
      <c r="L146" s="145">
        <v>100</v>
      </c>
      <c r="M146" s="138">
        <f t="shared" si="21"/>
        <v>0</v>
      </c>
    </row>
    <row r="147" spans="1:13" x14ac:dyDescent="0.3">
      <c r="A147" s="139">
        <f t="shared" si="22"/>
        <v>44553</v>
      </c>
      <c r="B147" s="136"/>
      <c r="C147" s="136"/>
      <c r="D147" s="136"/>
      <c r="E147" s="144"/>
      <c r="F147" s="144"/>
      <c r="G147" s="137"/>
      <c r="H147" s="137"/>
      <c r="I147" s="136"/>
      <c r="J147" s="145"/>
      <c r="K147" s="145"/>
      <c r="L147" s="145"/>
      <c r="M147" s="138">
        <f t="shared" si="21"/>
        <v>0</v>
      </c>
    </row>
    <row r="148" spans="1:13" x14ac:dyDescent="0.3">
      <c r="A148" s="139">
        <f t="shared" si="22"/>
        <v>44523</v>
      </c>
      <c r="B148" s="136"/>
      <c r="C148" s="136"/>
      <c r="D148" s="136"/>
      <c r="E148" s="144"/>
      <c r="F148" s="144"/>
      <c r="G148" s="137"/>
      <c r="H148" s="137"/>
      <c r="I148" s="136"/>
      <c r="J148" s="145"/>
      <c r="K148" s="145"/>
      <c r="L148" s="145"/>
      <c r="M148" s="138">
        <f t="shared" si="21"/>
        <v>0</v>
      </c>
    </row>
    <row r="149" spans="1:13" x14ac:dyDescent="0.3">
      <c r="A149" s="139">
        <f t="shared" si="22"/>
        <v>44493</v>
      </c>
      <c r="B149" s="136"/>
      <c r="C149" s="136"/>
      <c r="D149" s="136"/>
      <c r="E149" s="144"/>
      <c r="F149" s="144"/>
      <c r="G149" s="137"/>
      <c r="H149" s="137"/>
      <c r="I149" s="136"/>
      <c r="J149" s="145"/>
      <c r="K149" s="145"/>
      <c r="L149" s="145"/>
      <c r="M149" s="138">
        <f t="shared" si="21"/>
        <v>0</v>
      </c>
    </row>
    <row r="150" spans="1:13" x14ac:dyDescent="0.3">
      <c r="A150" s="139">
        <f t="shared" si="22"/>
        <v>44463</v>
      </c>
      <c r="B150" s="136"/>
      <c r="C150" s="136"/>
      <c r="D150" s="136"/>
      <c r="E150" s="144"/>
      <c r="F150" s="144"/>
      <c r="G150" s="137"/>
      <c r="H150" s="137"/>
      <c r="I150" s="136"/>
      <c r="J150" s="145"/>
      <c r="K150" s="145"/>
      <c r="L150" s="145"/>
      <c r="M150" s="138">
        <f t="shared" si="21"/>
        <v>0</v>
      </c>
    </row>
    <row r="151" spans="1:13" x14ac:dyDescent="0.3">
      <c r="A151" s="139">
        <f t="shared" si="22"/>
        <v>44433</v>
      </c>
      <c r="B151" s="136"/>
      <c r="C151" s="136"/>
      <c r="D151" s="136"/>
      <c r="E151" s="144"/>
      <c r="F151" s="144"/>
      <c r="G151" s="137"/>
      <c r="H151" s="137"/>
      <c r="I151" s="136"/>
      <c r="J151" s="145"/>
      <c r="K151" s="145"/>
      <c r="L151" s="145"/>
      <c r="M151" s="138">
        <f t="shared" si="21"/>
        <v>0</v>
      </c>
    </row>
    <row r="152" spans="1:13" x14ac:dyDescent="0.3">
      <c r="A152" s="139">
        <f t="shared" si="22"/>
        <v>44403</v>
      </c>
      <c r="B152" s="136"/>
      <c r="C152" s="136"/>
      <c r="D152" s="136"/>
      <c r="E152" s="144"/>
      <c r="F152" s="144"/>
      <c r="G152" s="137"/>
      <c r="H152" s="137"/>
      <c r="I152" s="136"/>
      <c r="J152" s="145"/>
      <c r="K152" s="145"/>
      <c r="L152" s="145"/>
      <c r="M152" s="138">
        <f t="shared" si="21"/>
        <v>0</v>
      </c>
    </row>
    <row r="153" spans="1:13" x14ac:dyDescent="0.3">
      <c r="A153" s="139">
        <f t="shared" si="22"/>
        <v>44373</v>
      </c>
      <c r="B153" s="136"/>
      <c r="C153" s="136"/>
      <c r="D153" s="136"/>
      <c r="E153" s="144"/>
      <c r="F153" s="144"/>
      <c r="G153" s="137"/>
      <c r="H153" s="137"/>
      <c r="I153" s="136"/>
      <c r="J153" s="145"/>
      <c r="K153" s="145"/>
      <c r="L153" s="145"/>
      <c r="M153" s="138">
        <f t="shared" si="21"/>
        <v>0</v>
      </c>
    </row>
    <row r="154" spans="1:13" x14ac:dyDescent="0.3">
      <c r="A154" s="139">
        <f t="shared" si="22"/>
        <v>44343</v>
      </c>
      <c r="B154" s="136"/>
      <c r="C154" s="136"/>
      <c r="D154" s="136"/>
      <c r="E154" s="144"/>
      <c r="F154" s="144"/>
      <c r="G154" s="137"/>
      <c r="H154" s="137"/>
      <c r="I154" s="136"/>
      <c r="J154" s="145"/>
      <c r="K154" s="145"/>
      <c r="L154" s="145"/>
      <c r="M154" s="138">
        <f t="shared" si="21"/>
        <v>0</v>
      </c>
    </row>
    <row r="155" spans="1:13" x14ac:dyDescent="0.3">
      <c r="A155" s="140" t="s">
        <v>234</v>
      </c>
      <c r="B155" s="141">
        <f>IFERROR(AVERAGE(B143:B154),0)</f>
        <v>0</v>
      </c>
      <c r="C155" s="141">
        <f>IFERROR(AVERAGE(C143:C154),0)</f>
        <v>0</v>
      </c>
      <c r="D155" s="141">
        <f>IFERROR(AVERAGE(D143:D154),0)</f>
        <v>0</v>
      </c>
      <c r="E155" s="142">
        <f>SUM(E143:E154)</f>
        <v>0</v>
      </c>
      <c r="F155" s="142">
        <f>SUM(F143:F154)</f>
        <v>0</v>
      </c>
      <c r="G155" s="142">
        <f>SUM(G143:G154)</f>
        <v>0</v>
      </c>
      <c r="H155" s="142">
        <f>SUM(H143:H154)</f>
        <v>0</v>
      </c>
      <c r="I155" s="388"/>
      <c r="J155" s="388"/>
      <c r="K155" s="388"/>
      <c r="L155" s="388"/>
      <c r="M155" s="384">
        <f>IFERROR(AVERAGE(M143:M154),0)</f>
        <v>0</v>
      </c>
    </row>
    <row r="156" spans="1:13" ht="15.75" customHeight="1" x14ac:dyDescent="0.3">
      <c r="A156" s="140" t="s">
        <v>235</v>
      </c>
      <c r="B156" s="143">
        <f>IF(B155=0,0,((SUM(B143:B154)/COUNT(B143:B154))*12))</f>
        <v>0</v>
      </c>
      <c r="C156" s="143">
        <f>IF(C155=0,0,((SUM(C143:C154)/COUNT(C143:C154))*12))</f>
        <v>0</v>
      </c>
      <c r="D156" s="143">
        <f>IF(D155=0,0,((SUM(D143:D154)/COUNT(D143:D154))*12))</f>
        <v>0</v>
      </c>
      <c r="E156" s="386" t="s">
        <v>236</v>
      </c>
      <c r="F156" s="386"/>
      <c r="G156" s="127">
        <f>IF(IFERROR(G155/E155,0),G155/E155,0)</f>
        <v>0</v>
      </c>
      <c r="H156" s="127">
        <f>IF(IFERROR(H155/F155,0),H155/F155,0)</f>
        <v>0</v>
      </c>
      <c r="I156" s="388"/>
      <c r="J156" s="388"/>
      <c r="K156" s="388"/>
      <c r="L156" s="388"/>
      <c r="M156" s="384"/>
    </row>
  </sheetData>
  <mergeCells count="130">
    <mergeCell ref="B141:D141"/>
    <mergeCell ref="E141:F141"/>
    <mergeCell ref="G141:H141"/>
    <mergeCell ref="I141:I142"/>
    <mergeCell ref="J141:L141"/>
    <mergeCell ref="M141:M142"/>
    <mergeCell ref="I155:L156"/>
    <mergeCell ref="M155:M156"/>
    <mergeCell ref="E156:F156"/>
    <mergeCell ref="M123:M124"/>
    <mergeCell ref="I137:L138"/>
    <mergeCell ref="M137:M138"/>
    <mergeCell ref="E138:F138"/>
    <mergeCell ref="B140:C140"/>
    <mergeCell ref="D140:E140"/>
    <mergeCell ref="F140:G140"/>
    <mergeCell ref="H140:I140"/>
    <mergeCell ref="J140:K140"/>
    <mergeCell ref="B122:C122"/>
    <mergeCell ref="D122:E122"/>
    <mergeCell ref="F122:G122"/>
    <mergeCell ref="H122:I122"/>
    <mergeCell ref="J122:K122"/>
    <mergeCell ref="B123:D123"/>
    <mergeCell ref="E123:F123"/>
    <mergeCell ref="G123:H123"/>
    <mergeCell ref="I123:I124"/>
    <mergeCell ref="J123:L123"/>
    <mergeCell ref="B105:D105"/>
    <mergeCell ref="E105:F105"/>
    <mergeCell ref="G105:H105"/>
    <mergeCell ref="I105:K105"/>
    <mergeCell ref="L105:L106"/>
    <mergeCell ref="M105:M106"/>
    <mergeCell ref="I119:K120"/>
    <mergeCell ref="L119:L120"/>
    <mergeCell ref="M119:M120"/>
    <mergeCell ref="E120:F120"/>
    <mergeCell ref="I101:K102"/>
    <mergeCell ref="L101:L102"/>
    <mergeCell ref="M101:M102"/>
    <mergeCell ref="E102:F102"/>
    <mergeCell ref="B104:C104"/>
    <mergeCell ref="D104:E104"/>
    <mergeCell ref="F104:G104"/>
    <mergeCell ref="I104:J104"/>
    <mergeCell ref="L104:M104"/>
    <mergeCell ref="B86:C86"/>
    <mergeCell ref="D86:E86"/>
    <mergeCell ref="F86:G86"/>
    <mergeCell ref="I86:J86"/>
    <mergeCell ref="L86:M86"/>
    <mergeCell ref="B87:D87"/>
    <mergeCell ref="E87:F87"/>
    <mergeCell ref="G87:H87"/>
    <mergeCell ref="I87:K87"/>
    <mergeCell ref="L87:L88"/>
    <mergeCell ref="M87:M88"/>
    <mergeCell ref="B69:D69"/>
    <mergeCell ref="E69:F69"/>
    <mergeCell ref="G69:H69"/>
    <mergeCell ref="I69:K69"/>
    <mergeCell ref="L69:L70"/>
    <mergeCell ref="M69:M70"/>
    <mergeCell ref="I83:K84"/>
    <mergeCell ref="L83:L84"/>
    <mergeCell ref="M83:M84"/>
    <mergeCell ref="E84:F84"/>
    <mergeCell ref="I65:K66"/>
    <mergeCell ref="L65:L66"/>
    <mergeCell ref="M65:M66"/>
    <mergeCell ref="E66:F66"/>
    <mergeCell ref="B68:C68"/>
    <mergeCell ref="D68:E68"/>
    <mergeCell ref="F68:G68"/>
    <mergeCell ref="I68:J68"/>
    <mergeCell ref="L68:M68"/>
    <mergeCell ref="B50:C50"/>
    <mergeCell ref="D50:E50"/>
    <mergeCell ref="F50:G50"/>
    <mergeCell ref="I50:J50"/>
    <mergeCell ref="L50:M50"/>
    <mergeCell ref="B51:D51"/>
    <mergeCell ref="E51:F51"/>
    <mergeCell ref="G51:H51"/>
    <mergeCell ref="I51:K51"/>
    <mergeCell ref="L51:L52"/>
    <mergeCell ref="M51:M52"/>
    <mergeCell ref="B33:D33"/>
    <mergeCell ref="E33:F33"/>
    <mergeCell ref="G33:H33"/>
    <mergeCell ref="I33:K33"/>
    <mergeCell ref="L33:L34"/>
    <mergeCell ref="M33:M34"/>
    <mergeCell ref="I47:K48"/>
    <mergeCell ref="L47:L48"/>
    <mergeCell ref="M47:M48"/>
    <mergeCell ref="E48:F48"/>
    <mergeCell ref="I29:K30"/>
    <mergeCell ref="L29:L30"/>
    <mergeCell ref="M29:M30"/>
    <mergeCell ref="E30:F30"/>
    <mergeCell ref="B32:C32"/>
    <mergeCell ref="D32:E32"/>
    <mergeCell ref="F32:G32"/>
    <mergeCell ref="I32:J32"/>
    <mergeCell ref="L32:M32"/>
    <mergeCell ref="I11:M11"/>
    <mergeCell ref="A12:C12"/>
    <mergeCell ref="I12:L12"/>
    <mergeCell ref="B14:C14"/>
    <mergeCell ref="D14:E14"/>
    <mergeCell ref="F14:G14"/>
    <mergeCell ref="I14:J14"/>
    <mergeCell ref="L14:M14"/>
    <mergeCell ref="B15:D15"/>
    <mergeCell ref="E15:F15"/>
    <mergeCell ref="G15:H15"/>
    <mergeCell ref="I15:K15"/>
    <mergeCell ref="L15:L16"/>
    <mergeCell ref="M15:M16"/>
    <mergeCell ref="A2:M2"/>
    <mergeCell ref="I3:M3"/>
    <mergeCell ref="I4:M4"/>
    <mergeCell ref="I5:M5"/>
    <mergeCell ref="I6:M6"/>
    <mergeCell ref="I7:M7"/>
    <mergeCell ref="I8:M8"/>
    <mergeCell ref="I9:M9"/>
    <mergeCell ref="I10:M10"/>
  </mergeCells>
  <conditionalFormatting sqref="F12:G12">
    <cfRule type="cellIs" dxfId="46" priority="13" operator="greaterThan">
      <formula>0.03</formula>
    </cfRule>
  </conditionalFormatting>
  <conditionalFormatting sqref="G12">
    <cfRule type="cellIs" dxfId="45" priority="12" operator="greaterThan">
      <formula>5</formula>
    </cfRule>
    <cfRule type="cellIs" dxfId="44" priority="10" operator="greaterThan">
      <formula>0.05</formula>
    </cfRule>
    <cfRule type="cellIs" dxfId="43" priority="11" operator="greaterThan">
      <formula>0.0769</formula>
    </cfRule>
  </conditionalFormatting>
  <conditionalFormatting sqref="G30:H30">
    <cfRule type="cellIs" dxfId="42" priority="43" operator="greaterThan">
      <formula>0.03</formula>
    </cfRule>
  </conditionalFormatting>
  <conditionalFormatting sqref="G48:H48">
    <cfRule type="cellIs" dxfId="41" priority="38" operator="greaterThan">
      <formula>0.03</formula>
    </cfRule>
  </conditionalFormatting>
  <conditionalFormatting sqref="G66:H66">
    <cfRule type="cellIs" dxfId="40" priority="33" operator="greaterThan">
      <formula>0.03</formula>
    </cfRule>
  </conditionalFormatting>
  <conditionalFormatting sqref="G84:H84">
    <cfRule type="cellIs" dxfId="39" priority="28" operator="greaterThan">
      <formula>0.03</formula>
    </cfRule>
  </conditionalFormatting>
  <conditionalFormatting sqref="G102:H102">
    <cfRule type="cellIs" dxfId="38" priority="23" operator="greaterThan">
      <formula>0.03</formula>
    </cfRule>
  </conditionalFormatting>
  <conditionalFormatting sqref="G120:H120">
    <cfRule type="cellIs" dxfId="37" priority="18" operator="greaterThan">
      <formula>0.03</formula>
    </cfRule>
  </conditionalFormatting>
  <conditionalFormatting sqref="G138:H138">
    <cfRule type="cellIs" dxfId="36" priority="9" operator="greaterThan">
      <formula>0.03</formula>
    </cfRule>
  </conditionalFormatting>
  <conditionalFormatting sqref="G156:H156">
    <cfRule type="cellIs" dxfId="35" priority="5" operator="greaterThan">
      <formula>0.03</formula>
    </cfRule>
  </conditionalFormatting>
  <conditionalFormatting sqref="H30">
    <cfRule type="cellIs" dxfId="34" priority="42" operator="greaterThan">
      <formula>5</formula>
    </cfRule>
    <cfRule type="cellIs" dxfId="33" priority="41" operator="greaterThan">
      <formula>0.0769</formula>
    </cfRule>
    <cfRule type="cellIs" dxfId="32" priority="40" operator="greaterThan">
      <formula>0.05</formula>
    </cfRule>
  </conditionalFormatting>
  <conditionalFormatting sqref="H48">
    <cfRule type="cellIs" dxfId="31" priority="37" operator="greaterThan">
      <formula>5</formula>
    </cfRule>
    <cfRule type="cellIs" dxfId="30" priority="36" operator="greaterThan">
      <formula>0.0769</formula>
    </cfRule>
    <cfRule type="cellIs" dxfId="29" priority="35" operator="greaterThan">
      <formula>0.05</formula>
    </cfRule>
  </conditionalFormatting>
  <conditionalFormatting sqref="H66">
    <cfRule type="cellIs" dxfId="28" priority="32" operator="greaterThan">
      <formula>5</formula>
    </cfRule>
    <cfRule type="cellIs" dxfId="27" priority="31" operator="greaterThan">
      <formula>0.0769</formula>
    </cfRule>
    <cfRule type="cellIs" dxfId="26" priority="30" operator="greaterThan">
      <formula>0.05</formula>
    </cfRule>
  </conditionalFormatting>
  <conditionalFormatting sqref="H84">
    <cfRule type="cellIs" dxfId="25" priority="27" operator="greaterThan">
      <formula>5</formula>
    </cfRule>
    <cfRule type="cellIs" dxfId="24" priority="26" operator="greaterThan">
      <formula>0.0769</formula>
    </cfRule>
    <cfRule type="cellIs" dxfId="23" priority="25" operator="greaterThan">
      <formula>0.05</formula>
    </cfRule>
  </conditionalFormatting>
  <conditionalFormatting sqref="H102">
    <cfRule type="cellIs" dxfId="22" priority="20" operator="greaterThan">
      <formula>0.05</formula>
    </cfRule>
    <cfRule type="cellIs" dxfId="21" priority="21" operator="greaterThan">
      <formula>0.0769</formula>
    </cfRule>
    <cfRule type="cellIs" dxfId="20" priority="22" operator="greaterThan">
      <formula>5</formula>
    </cfRule>
  </conditionalFormatting>
  <conditionalFormatting sqref="H120">
    <cfRule type="cellIs" dxfId="19" priority="17" operator="greaterThan">
      <formula>5</formula>
    </cfRule>
    <cfRule type="cellIs" dxfId="18" priority="16" operator="greaterThan">
      <formula>0.0769</formula>
    </cfRule>
    <cfRule type="cellIs" dxfId="17" priority="15" operator="greaterThan">
      <formula>0.05</formula>
    </cfRule>
  </conditionalFormatting>
  <conditionalFormatting sqref="H138">
    <cfRule type="cellIs" dxfId="16" priority="7" operator="greaterThan">
      <formula>0.0769</formula>
    </cfRule>
    <cfRule type="cellIs" dxfId="15" priority="8" operator="greaterThan">
      <formula>5</formula>
    </cfRule>
    <cfRule type="cellIs" dxfId="14" priority="6" operator="greaterThan">
      <formula>0.05</formula>
    </cfRule>
  </conditionalFormatting>
  <conditionalFormatting sqref="H156">
    <cfRule type="cellIs" dxfId="13" priority="2" operator="greaterThan">
      <formula>0.05</formula>
    </cfRule>
    <cfRule type="cellIs" dxfId="12" priority="4" operator="greaterThan">
      <formula>5</formula>
    </cfRule>
    <cfRule type="cellIs" dxfId="11" priority="3" operator="greaterThan">
      <formula>0.0769</formula>
    </cfRule>
  </conditionalFormatting>
  <conditionalFormatting sqref="M17:M29">
    <cfRule type="cellIs" dxfId="10" priority="39" operator="greaterThan">
      <formula>0.99</formula>
    </cfRule>
  </conditionalFormatting>
  <conditionalFormatting sqref="M35:M47">
    <cfRule type="cellIs" dxfId="9" priority="34" operator="greaterThan">
      <formula>0.99</formula>
    </cfRule>
  </conditionalFormatting>
  <conditionalFormatting sqref="M53:M65">
    <cfRule type="cellIs" dxfId="8" priority="29" operator="greaterThan">
      <formula>0.99</formula>
    </cfRule>
  </conditionalFormatting>
  <conditionalFormatting sqref="M71:M83">
    <cfRule type="cellIs" dxfId="7" priority="24" operator="greaterThan">
      <formula>0.99</formula>
    </cfRule>
  </conditionalFormatting>
  <conditionalFormatting sqref="M89:M101">
    <cfRule type="cellIs" dxfId="6" priority="19" operator="greaterThan">
      <formula>0.99</formula>
    </cfRule>
  </conditionalFormatting>
  <conditionalFormatting sqref="M107:M119">
    <cfRule type="cellIs" dxfId="5" priority="14" operator="greaterThan">
      <formula>0.99</formula>
    </cfRule>
  </conditionalFormatting>
  <dataValidations count="5">
    <dataValidation operator="equal" allowBlank="1" showInputMessage="1" showErrorMessage="1" prompt="Figures should be in Rs. Lacs Only" sqref="B17:B24 I17:K28 B25:D27 B28 B35:B42 I35:K46 B43:D45 B46 B53:B64 I53:K64 C61:D61 D62:D63 C63 B71:B78 I71:K82 B79:D81 B82 B89:B96 I89:K100 B97:D99 B100 B107:B114 I107:K118 B115:D117 B118 B125:B132 J125:L136 B133:D135 B136 B143:B150 J143:L154 B151:D153 B154" xr:uid="{00000000-0002-0000-0500-000000000000}">
      <formula1>0</formula1>
      <formula2>0</formula2>
    </dataValidation>
    <dataValidation allowBlank="1" showInputMessage="1" showErrorMessage="1" prompt="PLEASE PUT MONTH OF LATEST BANKING AVAILABLE_x000a_" sqref="A18:A28 A36:A46 A54:A64 A72:A82 A90:A100 A108:A118 A126:A136 A144:A154" xr:uid="{00000000-0002-0000-0500-000001000000}">
      <formula1>0</formula1>
      <formula2>0</formula2>
    </dataValidation>
    <dataValidation allowBlank="1" showInputMessage="1" showErrorMessage="1" prompt="Figures should be in Rs. Lacs Only" sqref="L17:M28 L35:M46 L53:M64 L71:M82 L89:M100 L107:M118 M125:M136 M143:M154" xr:uid="{00000000-0002-0000-0500-000002000000}">
      <formula1>0</formula1>
      <formula2>0</formula2>
    </dataValidation>
    <dataValidation type="list" allowBlank="1" showInputMessage="1" showErrorMessage="1" sqref="I14:J14 I32:J32 I50:J50 I68:J68 I86:J86 I104:J104" xr:uid="{00000000-0002-0000-0500-000003000000}">
      <formula1>"Current,Saving,NA"</formula1>
      <formula2>0</formula2>
    </dataValidation>
    <dataValidation type="list" allowBlank="1" showInputMessage="1" showErrorMessage="1" sqref="J122:K122 J140:K140" xr:uid="{00000000-0002-0000-0500-000004000000}">
      <formula1>"OD,NA"</formula1>
      <formula2>0</formula2>
    </dataValidation>
  </dataValidations>
  <pageMargins left="0.2" right="0.2" top="0.2" bottom="0.2" header="0.511811023622047" footer="0.1"/>
  <pageSetup scale="48" orientation="portrait" horizontalDpi="300" verticalDpi="300"/>
  <headerFooter>
    <oddFooter>&amp;C&amp;F</oddFooter>
  </headerFooter>
  <rowBreaks count="1" manualBreakCount="1">
    <brk id="84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548235"/>
  </sheetPr>
  <dimension ref="A1:E22"/>
  <sheetViews>
    <sheetView zoomScaleNormal="100" workbookViewId="0">
      <pane ySplit="1" topLeftCell="A2" activePane="bottomLeft" state="frozen"/>
      <selection pane="bottomLeft" activeCell="E17" sqref="E17"/>
    </sheetView>
  </sheetViews>
  <sheetFormatPr defaultColWidth="8.6640625" defaultRowHeight="14.4" x14ac:dyDescent="0.3"/>
  <cols>
    <col min="2" max="2" width="36.33203125" customWidth="1"/>
    <col min="3" max="3" width="21" customWidth="1"/>
    <col min="4" max="4" width="11.88671875" customWidth="1"/>
    <col min="5" max="5" width="19.6640625" customWidth="1"/>
  </cols>
  <sheetData>
    <row r="1" spans="1:5" x14ac:dyDescent="0.3">
      <c r="A1" s="147" t="s">
        <v>249</v>
      </c>
      <c r="B1" s="147" t="s">
        <v>250</v>
      </c>
      <c r="C1" s="148" t="s">
        <v>251</v>
      </c>
      <c r="D1" s="147" t="s">
        <v>252</v>
      </c>
      <c r="E1" s="147" t="s">
        <v>253</v>
      </c>
    </row>
    <row r="2" spans="1:5" x14ac:dyDescent="0.3">
      <c r="A2" s="149"/>
      <c r="B2" s="389" t="s">
        <v>254</v>
      </c>
      <c r="C2" s="389"/>
      <c r="D2" s="389"/>
      <c r="E2" s="389"/>
    </row>
    <row r="3" spans="1:5" x14ac:dyDescent="0.3">
      <c r="A3" s="149" t="s">
        <v>255</v>
      </c>
      <c r="B3" s="149" t="s">
        <v>256</v>
      </c>
      <c r="C3" s="150"/>
      <c r="D3" s="151">
        <v>1</v>
      </c>
      <c r="E3" s="152">
        <f>D3*C3</f>
        <v>0</v>
      </c>
    </row>
    <row r="4" spans="1:5" ht="25.5" customHeight="1" x14ac:dyDescent="0.3">
      <c r="A4" s="149" t="s">
        <v>257</v>
      </c>
      <c r="B4" s="153" t="s">
        <v>258</v>
      </c>
      <c r="C4" s="150">
        <v>0</v>
      </c>
      <c r="D4" s="151">
        <v>1</v>
      </c>
      <c r="E4" s="152">
        <f>D4*C4</f>
        <v>0</v>
      </c>
    </row>
    <row r="5" spans="1:5" ht="25.5" customHeight="1" x14ac:dyDescent="0.3">
      <c r="A5" s="149" t="s">
        <v>259</v>
      </c>
      <c r="B5" s="153" t="s">
        <v>260</v>
      </c>
      <c r="C5" s="150"/>
      <c r="D5" s="151">
        <v>1</v>
      </c>
      <c r="E5" s="152">
        <f>D5*C5</f>
        <v>0</v>
      </c>
    </row>
    <row r="6" spans="1:5" ht="25.5" customHeight="1" x14ac:dyDescent="0.3">
      <c r="A6" s="149" t="s">
        <v>261</v>
      </c>
      <c r="B6" s="153" t="s">
        <v>262</v>
      </c>
      <c r="C6" s="150"/>
      <c r="D6" s="151">
        <v>0.5</v>
      </c>
      <c r="E6" s="152">
        <f>D6*C6</f>
        <v>0</v>
      </c>
    </row>
    <row r="7" spans="1:5" x14ac:dyDescent="0.3">
      <c r="A7" s="149" t="s">
        <v>263</v>
      </c>
      <c r="B7" s="153" t="s">
        <v>264</v>
      </c>
      <c r="C7" s="150"/>
      <c r="D7" s="151">
        <v>0.5</v>
      </c>
      <c r="E7" s="152">
        <f>D7*C7</f>
        <v>0</v>
      </c>
    </row>
    <row r="8" spans="1:5" ht="27" customHeight="1" x14ac:dyDescent="0.3">
      <c r="A8" s="154" t="s">
        <v>265</v>
      </c>
      <c r="B8" s="390" t="s">
        <v>266</v>
      </c>
      <c r="C8" s="390"/>
      <c r="D8" s="390"/>
      <c r="E8" s="155">
        <f>SUM(E3:E7)</f>
        <v>0</v>
      </c>
    </row>
    <row r="9" spans="1:5" x14ac:dyDescent="0.3">
      <c r="A9" s="149"/>
      <c r="B9" s="389" t="s">
        <v>267</v>
      </c>
      <c r="C9" s="389"/>
      <c r="D9" s="389"/>
      <c r="E9" s="389"/>
    </row>
    <row r="10" spans="1:5" x14ac:dyDescent="0.3">
      <c r="A10" s="149" t="s">
        <v>268</v>
      </c>
      <c r="B10" s="149" t="s">
        <v>269</v>
      </c>
      <c r="C10" s="150">
        <v>0</v>
      </c>
      <c r="D10" s="151">
        <v>1</v>
      </c>
      <c r="E10" s="152">
        <f>D10*C10</f>
        <v>0</v>
      </c>
    </row>
    <row r="11" spans="1:5" x14ac:dyDescent="0.3">
      <c r="A11" s="149" t="s">
        <v>270</v>
      </c>
      <c r="B11" s="153" t="s">
        <v>271</v>
      </c>
      <c r="C11" s="150">
        <v>0</v>
      </c>
      <c r="D11" s="151">
        <v>0.5</v>
      </c>
      <c r="E11" s="152">
        <f>D11*C11</f>
        <v>0</v>
      </c>
    </row>
    <row r="12" spans="1:5" x14ac:dyDescent="0.3">
      <c r="A12" s="149" t="s">
        <v>272</v>
      </c>
      <c r="B12" s="153" t="s">
        <v>273</v>
      </c>
      <c r="C12" s="150">
        <v>0</v>
      </c>
      <c r="D12" s="151">
        <v>0.5</v>
      </c>
      <c r="E12" s="152">
        <f>D12*C12</f>
        <v>0</v>
      </c>
    </row>
    <row r="13" spans="1:5" ht="15" customHeight="1" x14ac:dyDescent="0.3">
      <c r="A13" s="149" t="s">
        <v>274</v>
      </c>
      <c r="B13" s="391" t="s">
        <v>275</v>
      </c>
      <c r="C13" s="391"/>
      <c r="D13" s="391"/>
      <c r="E13" s="152">
        <f>SUM(E10:E12)</f>
        <v>0</v>
      </c>
    </row>
    <row r="14" spans="1:5" ht="25.5" customHeight="1" x14ac:dyDescent="0.3">
      <c r="A14" s="154" t="s">
        <v>276</v>
      </c>
      <c r="B14" s="156" t="s">
        <v>277</v>
      </c>
      <c r="C14" s="156" t="s">
        <v>278</v>
      </c>
      <c r="D14" s="150" t="s">
        <v>279</v>
      </c>
      <c r="E14" s="155">
        <f>IF(D14="Yes",IF(E13&gt;E8,E8,E13),E13)</f>
        <v>0</v>
      </c>
    </row>
    <row r="15" spans="1:5" x14ac:dyDescent="0.3">
      <c r="A15" s="154" t="s">
        <v>280</v>
      </c>
      <c r="B15" s="154" t="s">
        <v>281</v>
      </c>
      <c r="C15" s="154"/>
      <c r="D15" s="154"/>
      <c r="E15" s="155">
        <f>E14+E8</f>
        <v>0</v>
      </c>
    </row>
    <row r="16" spans="1:5" x14ac:dyDescent="0.3">
      <c r="A16" s="154" t="s">
        <v>282</v>
      </c>
      <c r="B16" s="154" t="s">
        <v>283</v>
      </c>
      <c r="C16" s="149"/>
      <c r="D16" s="157">
        <v>0.6</v>
      </c>
      <c r="E16" s="155">
        <f>E15*D16</f>
        <v>0</v>
      </c>
    </row>
    <row r="17" spans="1:5" x14ac:dyDescent="0.3">
      <c r="A17" s="154" t="s">
        <v>284</v>
      </c>
      <c r="B17" s="154" t="s">
        <v>285</v>
      </c>
      <c r="C17" s="154"/>
      <c r="D17" s="154"/>
      <c r="E17" s="158">
        <f>'RTR '!B3</f>
        <v>0</v>
      </c>
    </row>
    <row r="18" spans="1:5" x14ac:dyDescent="0.3">
      <c r="A18" s="154" t="s">
        <v>286</v>
      </c>
      <c r="B18" s="154" t="s">
        <v>287</v>
      </c>
      <c r="C18" s="154"/>
      <c r="D18" s="154"/>
      <c r="E18" s="155">
        <f>E16-E17</f>
        <v>0</v>
      </c>
    </row>
    <row r="19" spans="1:5" x14ac:dyDescent="0.3">
      <c r="A19" s="154" t="s">
        <v>288</v>
      </c>
      <c r="B19" s="149" t="s">
        <v>289</v>
      </c>
      <c r="C19" s="149"/>
      <c r="D19" s="149"/>
      <c r="E19" s="152" t="e">
        <f>PMT('RTR '!J4/12,'RTR '!J3,-100000)</f>
        <v>#NUM!</v>
      </c>
    </row>
    <row r="20" spans="1:5" x14ac:dyDescent="0.3">
      <c r="A20" s="154" t="s">
        <v>290</v>
      </c>
      <c r="B20" s="154" t="s">
        <v>291</v>
      </c>
      <c r="C20" s="149"/>
      <c r="D20" s="149"/>
      <c r="E20" s="155" t="e">
        <f>E18/E19</f>
        <v>#NUM!</v>
      </c>
    </row>
    <row r="21" spans="1:5" x14ac:dyDescent="0.3">
      <c r="A21" s="154" t="s">
        <v>292</v>
      </c>
      <c r="B21" s="149" t="s">
        <v>293</v>
      </c>
      <c r="C21" s="149"/>
      <c r="D21" s="149"/>
      <c r="E21" s="159">
        <f>'RTR '!J2/100000</f>
        <v>0</v>
      </c>
    </row>
    <row r="22" spans="1:5" x14ac:dyDescent="0.3">
      <c r="A22" s="154" t="s">
        <v>294</v>
      </c>
      <c r="B22" s="154" t="s">
        <v>295</v>
      </c>
      <c r="C22" s="154"/>
      <c r="D22" s="154"/>
      <c r="E22" s="160" t="e">
        <f>'RTR '!L3/'Eligibility-Salaried'!E15</f>
        <v>#NUM!</v>
      </c>
    </row>
  </sheetData>
  <mergeCells count="4">
    <mergeCell ref="B2:E2"/>
    <mergeCell ref="B8:D8"/>
    <mergeCell ref="B9:E9"/>
    <mergeCell ref="B13:D13"/>
  </mergeCells>
  <dataValidations count="1">
    <dataValidation type="list" allowBlank="1" showInputMessage="1" showErrorMessage="1" sqref="D14" xr:uid="{00000000-0002-0000-0600-000000000000}">
      <formula1>"Yes,No"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548235"/>
  </sheetPr>
  <dimension ref="A1:E22"/>
  <sheetViews>
    <sheetView zoomScaleNormal="100" workbookViewId="0">
      <pane ySplit="1" topLeftCell="A2" activePane="bottomLeft" state="frozen"/>
      <selection pane="bottomLeft" activeCell="D11" sqref="D11"/>
    </sheetView>
  </sheetViews>
  <sheetFormatPr defaultColWidth="8.6640625" defaultRowHeight="14.4" x14ac:dyDescent="0.3"/>
  <cols>
    <col min="2" max="2" width="51.44140625" customWidth="1"/>
    <col min="3" max="3" width="21.33203125" customWidth="1"/>
    <col min="4" max="4" width="20.6640625" customWidth="1"/>
    <col min="5" max="5" width="21.33203125" customWidth="1"/>
  </cols>
  <sheetData>
    <row r="1" spans="1:5" ht="25.5" customHeight="1" x14ac:dyDescent="0.3">
      <c r="A1" s="147" t="s">
        <v>249</v>
      </c>
      <c r="B1" s="147" t="s">
        <v>250</v>
      </c>
      <c r="C1" s="161">
        <f>'Consolidated Fin'!C4</f>
        <v>45747</v>
      </c>
      <c r="D1" s="161">
        <f>'Consolidated Fin'!D4</f>
        <v>46112</v>
      </c>
      <c r="E1" s="148" t="s">
        <v>296</v>
      </c>
    </row>
    <row r="2" spans="1:5" x14ac:dyDescent="0.3">
      <c r="A2" s="69"/>
      <c r="B2" s="389" t="s">
        <v>297</v>
      </c>
      <c r="C2" s="389"/>
      <c r="D2" s="389"/>
      <c r="E2" s="389"/>
    </row>
    <row r="3" spans="1:5" x14ac:dyDescent="0.3">
      <c r="A3" s="162" t="s">
        <v>255</v>
      </c>
      <c r="B3" s="149" t="s">
        <v>298</v>
      </c>
      <c r="C3" s="163">
        <f>'Consolidated Fin'!D27</f>
        <v>0</v>
      </c>
      <c r="D3" s="163">
        <f>'Consolidated Fin'!C27</f>
        <v>0</v>
      </c>
      <c r="E3" s="164"/>
    </row>
    <row r="4" spans="1:5" x14ac:dyDescent="0.3">
      <c r="A4" s="162" t="s">
        <v>257</v>
      </c>
      <c r="B4" s="153" t="s">
        <v>299</v>
      </c>
      <c r="C4" s="163">
        <f>'Consolidated Fin'!C21</f>
        <v>0</v>
      </c>
      <c r="D4" s="163">
        <f>'Consolidated Fin'!D21</f>
        <v>0</v>
      </c>
      <c r="E4" s="164"/>
    </row>
    <row r="5" spans="1:5" x14ac:dyDescent="0.3">
      <c r="A5" s="162" t="s">
        <v>259</v>
      </c>
      <c r="B5" s="153" t="s">
        <v>300</v>
      </c>
      <c r="C5" s="163">
        <f>'Consolidated Fin'!C22</f>
        <v>0</v>
      </c>
      <c r="D5" s="163">
        <f>'Consolidated Fin'!D22</f>
        <v>0</v>
      </c>
      <c r="E5" s="164"/>
    </row>
    <row r="6" spans="1:5" x14ac:dyDescent="0.3">
      <c r="A6" s="162" t="s">
        <v>261</v>
      </c>
      <c r="B6" s="153" t="s">
        <v>301</v>
      </c>
      <c r="C6" s="163">
        <f>'Consolidated Fin'!C20</f>
        <v>0</v>
      </c>
      <c r="D6" s="163">
        <f>'Consolidated Fin'!D20</f>
        <v>0</v>
      </c>
      <c r="E6" s="164"/>
    </row>
    <row r="7" spans="1:5" x14ac:dyDescent="0.3">
      <c r="A7" s="147" t="s">
        <v>265</v>
      </c>
      <c r="B7" s="156" t="s">
        <v>302</v>
      </c>
      <c r="C7" s="165">
        <f>SUM(C3:C6)</f>
        <v>0</v>
      </c>
      <c r="D7" s="165">
        <f>SUM(D3:D6)</f>
        <v>0</v>
      </c>
      <c r="E7" s="166">
        <f>SUM(E3:E6)</f>
        <v>0</v>
      </c>
    </row>
    <row r="8" spans="1:5" x14ac:dyDescent="0.3">
      <c r="A8" s="147" t="s">
        <v>276</v>
      </c>
      <c r="B8" s="153" t="s">
        <v>303</v>
      </c>
      <c r="C8" s="165"/>
      <c r="D8" s="165"/>
      <c r="E8" s="155">
        <f>'Eligibility-Salaried'!E8*12</f>
        <v>0</v>
      </c>
    </row>
    <row r="9" spans="1:5" x14ac:dyDescent="0.3">
      <c r="A9" s="69"/>
      <c r="B9" s="389" t="s">
        <v>267</v>
      </c>
      <c r="C9" s="389"/>
      <c r="D9" s="389"/>
      <c r="E9" s="389"/>
    </row>
    <row r="10" spans="1:5" x14ac:dyDescent="0.3">
      <c r="A10" s="162" t="s">
        <v>304</v>
      </c>
      <c r="B10" s="149" t="s">
        <v>305</v>
      </c>
      <c r="C10" s="150"/>
      <c r="D10" s="151">
        <v>1</v>
      </c>
      <c r="E10" s="152">
        <f>D10*C10</f>
        <v>0</v>
      </c>
    </row>
    <row r="11" spans="1:5" x14ac:dyDescent="0.3">
      <c r="A11" s="162" t="s">
        <v>306</v>
      </c>
      <c r="B11" s="153" t="s">
        <v>307</v>
      </c>
      <c r="C11" s="150"/>
      <c r="D11" s="151">
        <v>0.5</v>
      </c>
      <c r="E11" s="152">
        <f>D11*C11</f>
        <v>0</v>
      </c>
    </row>
    <row r="12" spans="1:5" x14ac:dyDescent="0.3">
      <c r="A12" s="162" t="s">
        <v>308</v>
      </c>
      <c r="B12" s="153" t="s">
        <v>309</v>
      </c>
      <c r="C12" s="150"/>
      <c r="D12" s="151">
        <v>0.5</v>
      </c>
      <c r="E12" s="152">
        <f>D12*C12</f>
        <v>0</v>
      </c>
    </row>
    <row r="13" spans="1:5" ht="15" customHeight="1" x14ac:dyDescent="0.3">
      <c r="A13" s="162" t="s">
        <v>310</v>
      </c>
      <c r="B13" s="391" t="s">
        <v>275</v>
      </c>
      <c r="C13" s="391"/>
      <c r="D13" s="391"/>
      <c r="E13" s="152">
        <f>SUM(E10:E12)</f>
        <v>0</v>
      </c>
    </row>
    <row r="14" spans="1:5" ht="25.5" customHeight="1" x14ac:dyDescent="0.3">
      <c r="A14" s="147" t="s">
        <v>280</v>
      </c>
      <c r="B14" s="156" t="s">
        <v>277</v>
      </c>
      <c r="C14" s="156" t="s">
        <v>311</v>
      </c>
      <c r="D14" s="150" t="s">
        <v>312</v>
      </c>
      <c r="E14" s="155">
        <f>IF(D14="Yes",IF(E13&gt;(E8+E7),E8,E13),E13)</f>
        <v>0</v>
      </c>
    </row>
    <row r="15" spans="1:5" x14ac:dyDescent="0.3">
      <c r="A15" s="147" t="s">
        <v>282</v>
      </c>
      <c r="B15" s="154" t="s">
        <v>313</v>
      </c>
      <c r="C15" s="154"/>
      <c r="D15" s="113"/>
      <c r="E15" s="167">
        <f>E14+E8+E7</f>
        <v>0</v>
      </c>
    </row>
    <row r="16" spans="1:5" x14ac:dyDescent="0.3">
      <c r="A16" s="147" t="s">
        <v>284</v>
      </c>
      <c r="B16" s="154" t="s">
        <v>314</v>
      </c>
      <c r="C16" s="154"/>
      <c r="D16" s="113"/>
      <c r="E16" s="167">
        <f>((E14+E7)*0.7+E8*0.6)/12</f>
        <v>0</v>
      </c>
    </row>
    <row r="17" spans="1:5" x14ac:dyDescent="0.3">
      <c r="A17" s="162" t="s">
        <v>286</v>
      </c>
      <c r="B17" s="149" t="s">
        <v>285</v>
      </c>
      <c r="C17" s="149"/>
      <c r="D17" s="113"/>
      <c r="E17" s="159">
        <f>'RTR '!B3</f>
        <v>0</v>
      </c>
    </row>
    <row r="18" spans="1:5" x14ac:dyDescent="0.3">
      <c r="A18" s="147" t="s">
        <v>288</v>
      </c>
      <c r="B18" s="154" t="s">
        <v>315</v>
      </c>
      <c r="C18" s="154"/>
      <c r="D18" s="168"/>
      <c r="E18" s="155">
        <f>E16-E17</f>
        <v>0</v>
      </c>
    </row>
    <row r="19" spans="1:5" x14ac:dyDescent="0.3">
      <c r="A19" s="147" t="s">
        <v>290</v>
      </c>
      <c r="B19" s="149" t="s">
        <v>289</v>
      </c>
      <c r="C19" s="149"/>
      <c r="D19" s="113"/>
      <c r="E19" s="152" t="e">
        <f>PMT('RTR '!J4/12,'RTR '!J3,-100000)</f>
        <v>#NUM!</v>
      </c>
    </row>
    <row r="20" spans="1:5" x14ac:dyDescent="0.3">
      <c r="A20" s="147" t="s">
        <v>292</v>
      </c>
      <c r="B20" s="154" t="s">
        <v>316</v>
      </c>
      <c r="C20" s="154"/>
      <c r="D20" s="149"/>
      <c r="E20" s="155" t="e">
        <f>E18/E19</f>
        <v>#NUM!</v>
      </c>
    </row>
    <row r="21" spans="1:5" x14ac:dyDescent="0.3">
      <c r="A21" s="147" t="s">
        <v>294</v>
      </c>
      <c r="B21" s="149" t="s">
        <v>293</v>
      </c>
      <c r="C21" s="149"/>
      <c r="D21" s="113"/>
      <c r="E21" s="159">
        <f>'RTR '!J2/100000</f>
        <v>0</v>
      </c>
    </row>
    <row r="22" spans="1:5" x14ac:dyDescent="0.3">
      <c r="A22" s="147" t="s">
        <v>317</v>
      </c>
      <c r="B22" s="149" t="s">
        <v>295</v>
      </c>
      <c r="C22" s="149"/>
      <c r="D22" s="113"/>
      <c r="E22" s="160" t="e">
        <f>'RTR '!L3/(E15/12)</f>
        <v>#NUM!</v>
      </c>
    </row>
  </sheetData>
  <mergeCells count="3">
    <mergeCell ref="B2:E2"/>
    <mergeCell ref="B9:E9"/>
    <mergeCell ref="B13:D13"/>
  </mergeCells>
  <dataValidations count="1">
    <dataValidation type="list" allowBlank="1" showInputMessage="1" showErrorMessage="1" sqref="D14" xr:uid="{00000000-0002-0000-0700-000000000000}">
      <formula1>"Yes,No"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548235"/>
  </sheetPr>
  <dimension ref="A1:F21"/>
  <sheetViews>
    <sheetView zoomScaleNormal="100" workbookViewId="0">
      <pane ySplit="1" topLeftCell="A2" activePane="bottomLeft" state="frozen"/>
      <selection pane="bottomLeft" activeCell="B6" sqref="B6"/>
    </sheetView>
  </sheetViews>
  <sheetFormatPr defaultColWidth="8.6640625" defaultRowHeight="14.4" x14ac:dyDescent="0.3"/>
  <cols>
    <col min="1" max="1" width="12.109375" customWidth="1"/>
    <col min="2" max="2" width="22.33203125" customWidth="1"/>
    <col min="3" max="3" width="21.6640625" customWidth="1"/>
    <col min="4" max="5" width="26.33203125" customWidth="1"/>
    <col min="6" max="6" width="21.44140625" customWidth="1"/>
  </cols>
  <sheetData>
    <row r="1" spans="1:6" x14ac:dyDescent="0.3">
      <c r="A1" s="169"/>
      <c r="B1" s="358" t="s">
        <v>318</v>
      </c>
      <c r="C1" s="358"/>
      <c r="D1" s="358"/>
      <c r="E1" s="358"/>
    </row>
    <row r="2" spans="1:6" x14ac:dyDescent="0.3">
      <c r="B2" s="113" t="s">
        <v>319</v>
      </c>
      <c r="C2" s="113" t="s">
        <v>320</v>
      </c>
      <c r="D2" s="113" t="s">
        <v>321</v>
      </c>
      <c r="E2" s="113" t="s">
        <v>322</v>
      </c>
    </row>
    <row r="3" spans="1:6" x14ac:dyDescent="0.3">
      <c r="B3" s="113" t="s">
        <v>323</v>
      </c>
      <c r="C3" s="113" t="s">
        <v>324</v>
      </c>
      <c r="D3" s="113" t="s">
        <v>325</v>
      </c>
      <c r="E3" s="113" t="s">
        <v>326</v>
      </c>
    </row>
    <row r="4" spans="1:6" x14ac:dyDescent="0.3">
      <c r="B4" s="113" t="s">
        <v>327</v>
      </c>
      <c r="C4" s="113" t="s">
        <v>328</v>
      </c>
      <c r="D4" s="113" t="s">
        <v>329</v>
      </c>
      <c r="E4" s="113" t="s">
        <v>330</v>
      </c>
    </row>
    <row r="5" spans="1:6" x14ac:dyDescent="0.3">
      <c r="B5" s="113" t="s">
        <v>331</v>
      </c>
      <c r="C5" s="113" t="s">
        <v>332</v>
      </c>
      <c r="D5" s="113" t="s">
        <v>333</v>
      </c>
      <c r="E5" s="113" t="s">
        <v>334</v>
      </c>
    </row>
    <row r="6" spans="1:6" x14ac:dyDescent="0.3">
      <c r="B6" s="113" t="s">
        <v>335</v>
      </c>
      <c r="C6" s="113" t="s">
        <v>336</v>
      </c>
      <c r="D6" s="113" t="s">
        <v>337</v>
      </c>
      <c r="E6" s="113" t="s">
        <v>338</v>
      </c>
    </row>
    <row r="8" spans="1:6" x14ac:dyDescent="0.3">
      <c r="B8" s="358" t="s">
        <v>339</v>
      </c>
      <c r="C8" s="358"/>
      <c r="D8" s="358"/>
      <c r="E8" s="358"/>
      <c r="F8" s="358"/>
    </row>
    <row r="9" spans="1:6" x14ac:dyDescent="0.3">
      <c r="B9" s="170"/>
      <c r="C9" s="62" t="s">
        <v>340</v>
      </c>
      <c r="D9" s="62" t="s">
        <v>341</v>
      </c>
      <c r="E9" s="62" t="s">
        <v>342</v>
      </c>
      <c r="F9" s="62" t="s">
        <v>168</v>
      </c>
    </row>
    <row r="10" spans="1:6" x14ac:dyDescent="0.3">
      <c r="B10" s="113" t="s">
        <v>343</v>
      </c>
      <c r="C10" s="171"/>
      <c r="D10" s="171"/>
      <c r="E10" s="171"/>
      <c r="F10" s="172">
        <f>SUM(C10:E10)</f>
        <v>0</v>
      </c>
    </row>
    <row r="11" spans="1:6" x14ac:dyDescent="0.3">
      <c r="B11" s="113" t="s">
        <v>344</v>
      </c>
      <c r="C11" s="171"/>
      <c r="D11" s="171"/>
      <c r="E11" s="171"/>
      <c r="F11" s="172">
        <f>SUM(C11:E11)</f>
        <v>0</v>
      </c>
    </row>
    <row r="12" spans="1:6" x14ac:dyDescent="0.3">
      <c r="B12" s="113" t="s">
        <v>345</v>
      </c>
      <c r="C12" s="173"/>
      <c r="D12" s="173"/>
      <c r="E12" s="173"/>
      <c r="F12" s="174"/>
    </row>
    <row r="13" spans="1:6" x14ac:dyDescent="0.3">
      <c r="B13" s="113" t="s">
        <v>346</v>
      </c>
      <c r="C13" s="171"/>
      <c r="D13" s="171"/>
      <c r="E13" s="171"/>
      <c r="F13" s="172">
        <f>SUM(C13:E13)</f>
        <v>0</v>
      </c>
    </row>
    <row r="14" spans="1:6" x14ac:dyDescent="0.3">
      <c r="B14" s="113" t="s">
        <v>347</v>
      </c>
      <c r="C14" s="107"/>
      <c r="D14" s="107"/>
      <c r="E14" s="107"/>
      <c r="F14" s="392"/>
    </row>
    <row r="15" spans="1:6" x14ac:dyDescent="0.3">
      <c r="B15" s="113" t="s">
        <v>323</v>
      </c>
      <c r="C15" s="107"/>
      <c r="D15" s="107"/>
      <c r="E15" s="107"/>
      <c r="F15" s="392"/>
    </row>
    <row r="16" spans="1:6" x14ac:dyDescent="0.3">
      <c r="B16" s="113" t="s">
        <v>327</v>
      </c>
      <c r="C16" s="107"/>
      <c r="D16" s="107"/>
      <c r="E16" s="107"/>
      <c r="F16" s="392"/>
    </row>
    <row r="17" spans="2:6" x14ac:dyDescent="0.3">
      <c r="B17" s="113" t="s">
        <v>331</v>
      </c>
      <c r="C17" s="113">
        <f>IF(C14&gt;36,2,IF(C14&gt;24,1.75,IF(C14&gt;11,1.5,0)))</f>
        <v>0</v>
      </c>
      <c r="D17" s="113">
        <f>IF(D14&gt;36,2,IF(D14&gt;24,1.75,IF(D14&gt;11,1.5,0)))</f>
        <v>0</v>
      </c>
      <c r="E17" s="113">
        <f>IF(E14&gt;36,2,IF(E14&gt;24,1.75,IF(E14&gt;11,1.5,0)))</f>
        <v>0</v>
      </c>
      <c r="F17" s="392"/>
    </row>
    <row r="18" spans="2:6" x14ac:dyDescent="0.3">
      <c r="B18" s="113" t="s">
        <v>335</v>
      </c>
      <c r="C18" s="175">
        <f>IF(C14&gt;36,C11*2,IF(C14&gt;24,C11,IF(C14&gt;11,C11*0.5,0)))</f>
        <v>0</v>
      </c>
      <c r="D18" s="175">
        <f>IF(D14&gt;36,D11*2,IF(D14&gt;24,D11,IF(D14&gt;11,D11*0.5,0)))</f>
        <v>0</v>
      </c>
      <c r="E18" s="175">
        <f>IF(E14&gt;36,E11*2,IF(E14&gt;24,E11,IF(E14&gt;11,E11*0.5,0)))</f>
        <v>0</v>
      </c>
      <c r="F18" s="175">
        <f>SUM(C18:E18)</f>
        <v>0</v>
      </c>
    </row>
    <row r="19" spans="2:6" x14ac:dyDescent="0.3">
      <c r="B19" s="113" t="s">
        <v>348</v>
      </c>
      <c r="C19" s="175">
        <f>C17*C13</f>
        <v>0</v>
      </c>
      <c r="D19" s="175">
        <f>D17*D13</f>
        <v>0</v>
      </c>
      <c r="E19" s="175">
        <f>E17*E13</f>
        <v>0</v>
      </c>
      <c r="F19" s="175">
        <f>SUM(C19:E19)</f>
        <v>0</v>
      </c>
    </row>
    <row r="20" spans="2:6" x14ac:dyDescent="0.3">
      <c r="B20" s="389" t="s">
        <v>289</v>
      </c>
      <c r="C20" s="389"/>
      <c r="D20" s="389"/>
      <c r="E20" s="389"/>
      <c r="F20" s="176" t="e">
        <f>PMT('RTR '!J4/12,'RTR '!J3,-100000)</f>
        <v>#NUM!</v>
      </c>
    </row>
    <row r="21" spans="2:6" x14ac:dyDescent="0.3">
      <c r="B21" s="389" t="s">
        <v>316</v>
      </c>
      <c r="C21" s="389"/>
      <c r="D21" s="389"/>
      <c r="E21" s="389"/>
      <c r="F21" s="176" t="e">
        <f>MIN(F19/F20*100000,(F18+F11))</f>
        <v>#NUM!</v>
      </c>
    </row>
  </sheetData>
  <mergeCells count="5">
    <mergeCell ref="B1:E1"/>
    <mergeCell ref="B8:F8"/>
    <mergeCell ref="F14:F17"/>
    <mergeCell ref="B20:E20"/>
    <mergeCell ref="B21:E21"/>
  </mergeCells>
  <pageMargins left="0.7" right="0.7" top="0.75" bottom="0.75" header="0.511811023622047" footer="0.511811023622047"/>
  <pageSetup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548235"/>
  </sheetPr>
  <dimension ref="A1:G27"/>
  <sheetViews>
    <sheetView zoomScaleNormal="100" workbookViewId="0">
      <pane ySplit="1" topLeftCell="A2" activePane="bottomLeft" state="frozen"/>
      <selection pane="bottomLeft" sqref="A1:C1"/>
    </sheetView>
  </sheetViews>
  <sheetFormatPr defaultColWidth="8.6640625" defaultRowHeight="14.4" x14ac:dyDescent="0.3"/>
  <cols>
    <col min="2" max="2" width="40.109375" customWidth="1"/>
    <col min="3" max="3" width="16.44140625" customWidth="1"/>
    <col min="5" max="5" width="35.88671875" customWidth="1"/>
    <col min="6" max="6" width="36.88671875" customWidth="1"/>
    <col min="7" max="7" width="18.5546875" customWidth="1"/>
    <col min="10" max="10" width="2.109375" customWidth="1"/>
    <col min="11" max="11" width="39.88671875" customWidth="1"/>
    <col min="12" max="12" width="6.44140625" customWidth="1"/>
  </cols>
  <sheetData>
    <row r="1" spans="1:7" x14ac:dyDescent="0.3">
      <c r="A1" s="358" t="s">
        <v>349</v>
      </c>
      <c r="B1" s="358"/>
      <c r="C1" s="358"/>
      <c r="E1" s="358" t="s">
        <v>350</v>
      </c>
      <c r="F1" s="358"/>
      <c r="G1" s="358"/>
    </row>
    <row r="2" spans="1:7" x14ac:dyDescent="0.3">
      <c r="A2" s="156"/>
      <c r="B2" s="156"/>
      <c r="C2" s="147"/>
      <c r="E2" s="177" t="s">
        <v>351</v>
      </c>
      <c r="F2" s="178"/>
      <c r="G2" s="179">
        <v>100</v>
      </c>
    </row>
    <row r="3" spans="1:7" ht="25.5" customHeight="1" x14ac:dyDescent="0.3">
      <c r="A3" s="153" t="s">
        <v>265</v>
      </c>
      <c r="B3" s="153" t="s">
        <v>352</v>
      </c>
      <c r="C3" s="180"/>
      <c r="E3" s="177" t="s">
        <v>353</v>
      </c>
      <c r="F3" s="181"/>
      <c r="G3" s="181"/>
    </row>
    <row r="4" spans="1:7" x14ac:dyDescent="0.3">
      <c r="A4" s="153" t="s">
        <v>276</v>
      </c>
      <c r="B4" s="149" t="s">
        <v>354</v>
      </c>
      <c r="C4" s="152">
        <f>C3*0.55</f>
        <v>0</v>
      </c>
      <c r="E4" s="113" t="s">
        <v>355</v>
      </c>
      <c r="F4" s="182"/>
      <c r="G4" s="113"/>
    </row>
    <row r="5" spans="1:7" x14ac:dyDescent="0.3">
      <c r="A5" s="153" t="s">
        <v>280</v>
      </c>
      <c r="B5" s="149" t="s">
        <v>356</v>
      </c>
      <c r="C5" s="183">
        <f>'RTR '!B3</f>
        <v>0</v>
      </c>
      <c r="E5" s="184" t="s">
        <v>357</v>
      </c>
      <c r="F5" s="185"/>
      <c r="G5" s="181"/>
    </row>
    <row r="6" spans="1:7" x14ac:dyDescent="0.3">
      <c r="A6" s="153" t="s">
        <v>282</v>
      </c>
      <c r="B6" s="149" t="s">
        <v>358</v>
      </c>
      <c r="C6" s="186">
        <f>C4-C5</f>
        <v>0</v>
      </c>
      <c r="E6" s="184" t="s">
        <v>359</v>
      </c>
      <c r="F6" s="185"/>
      <c r="G6" s="181"/>
    </row>
    <row r="7" spans="1:7" x14ac:dyDescent="0.3">
      <c r="A7" s="156" t="s">
        <v>284</v>
      </c>
      <c r="B7" s="149" t="s">
        <v>289</v>
      </c>
      <c r="C7" s="152" t="e">
        <f>PMT('RTR '!J4/12,'RTR '!J3,-100000)</f>
        <v>#NUM!</v>
      </c>
      <c r="E7" s="184" t="s">
        <v>360</v>
      </c>
      <c r="F7" s="185"/>
      <c r="G7" s="181"/>
    </row>
    <row r="8" spans="1:7" x14ac:dyDescent="0.3">
      <c r="A8" s="153" t="s">
        <v>286</v>
      </c>
      <c r="B8" s="154" t="s">
        <v>361</v>
      </c>
      <c r="C8" s="155" t="e">
        <f>C6/C7</f>
        <v>#NUM!</v>
      </c>
      <c r="E8" s="184" t="s">
        <v>362</v>
      </c>
      <c r="F8" s="185"/>
      <c r="G8" s="181"/>
    </row>
    <row r="9" spans="1:7" x14ac:dyDescent="0.3">
      <c r="A9" s="153" t="s">
        <v>288</v>
      </c>
      <c r="B9" s="149" t="s">
        <v>293</v>
      </c>
      <c r="C9" s="69">
        <f>'RTR '!J2/100000</f>
        <v>0</v>
      </c>
      <c r="E9" s="177" t="s">
        <v>363</v>
      </c>
      <c r="F9" s="178"/>
      <c r="G9" s="187">
        <f>SUM(F4:F8)</f>
        <v>0</v>
      </c>
    </row>
    <row r="10" spans="1:7" x14ac:dyDescent="0.3">
      <c r="A10" s="153" t="s">
        <v>290</v>
      </c>
      <c r="B10" s="149" t="s">
        <v>295</v>
      </c>
      <c r="C10" s="188" t="e">
        <f>'RTR '!L3/C3</f>
        <v>#NUM!</v>
      </c>
      <c r="E10" s="189" t="s">
        <v>364</v>
      </c>
      <c r="F10" s="190"/>
      <c r="G10" s="187">
        <f>G2-G9</f>
        <v>100</v>
      </c>
    </row>
    <row r="11" spans="1:7" x14ac:dyDescent="0.3">
      <c r="E11" s="184" t="s">
        <v>365</v>
      </c>
      <c r="F11" s="181" t="s">
        <v>366</v>
      </c>
      <c r="G11" s="191">
        <f>G10/G2</f>
        <v>1</v>
      </c>
    </row>
    <row r="12" spans="1:7" x14ac:dyDescent="0.3">
      <c r="A12" s="389" t="s">
        <v>367</v>
      </c>
      <c r="B12" s="389"/>
      <c r="C12" s="389"/>
    </row>
    <row r="13" spans="1:7" x14ac:dyDescent="0.3">
      <c r="A13" s="156"/>
      <c r="B13" s="147"/>
      <c r="C13" s="147"/>
      <c r="E13" s="358" t="s">
        <v>368</v>
      </c>
      <c r="F13" s="358"/>
      <c r="G13" s="358"/>
    </row>
    <row r="14" spans="1:7" x14ac:dyDescent="0.3">
      <c r="A14" s="153" t="s">
        <v>265</v>
      </c>
      <c r="B14" s="149" t="s">
        <v>369</v>
      </c>
      <c r="C14" s="180"/>
      <c r="E14" s="156"/>
      <c r="F14" s="156"/>
      <c r="G14" s="147"/>
    </row>
    <row r="15" spans="1:7" ht="15" customHeight="1" x14ac:dyDescent="0.3">
      <c r="A15" s="393" t="s">
        <v>276</v>
      </c>
      <c r="B15" s="153" t="s">
        <v>370</v>
      </c>
      <c r="C15" s="192">
        <f>MIN(C16:C18)</f>
        <v>0.06</v>
      </c>
      <c r="E15" s="153" t="s">
        <v>265</v>
      </c>
      <c r="F15" s="153" t="s">
        <v>371</v>
      </c>
      <c r="G15" s="180"/>
    </row>
    <row r="16" spans="1:7" ht="25.5" customHeight="1" x14ac:dyDescent="0.3">
      <c r="A16" s="393"/>
      <c r="B16" s="153" t="s">
        <v>372</v>
      </c>
      <c r="C16" s="193"/>
      <c r="E16" s="153" t="s">
        <v>373</v>
      </c>
      <c r="F16" s="153" t="s">
        <v>374</v>
      </c>
      <c r="G16" s="194"/>
    </row>
    <row r="17" spans="1:7" x14ac:dyDescent="0.3">
      <c r="A17" s="393"/>
      <c r="B17" s="156" t="s">
        <v>375</v>
      </c>
      <c r="C17" s="192"/>
      <c r="E17" s="153" t="s">
        <v>376</v>
      </c>
      <c r="F17" s="153" t="s">
        <v>377</v>
      </c>
      <c r="G17" s="152">
        <f>G15*G16</f>
        <v>0</v>
      </c>
    </row>
    <row r="18" spans="1:7" ht="25.5" customHeight="1" x14ac:dyDescent="0.3">
      <c r="A18" s="393"/>
      <c r="B18" s="153" t="s">
        <v>378</v>
      </c>
      <c r="C18" s="193">
        <v>0.06</v>
      </c>
      <c r="E18" s="153" t="s">
        <v>280</v>
      </c>
      <c r="F18" s="149" t="s">
        <v>379</v>
      </c>
      <c r="G18" s="195">
        <v>0</v>
      </c>
    </row>
    <row r="19" spans="1:7" x14ac:dyDescent="0.3">
      <c r="A19" s="153" t="s">
        <v>280</v>
      </c>
      <c r="B19" s="153" t="s">
        <v>380</v>
      </c>
      <c r="C19" s="159">
        <f>(C14*C15)</f>
        <v>0</v>
      </c>
      <c r="E19" s="153" t="s">
        <v>282</v>
      </c>
      <c r="F19" s="149" t="s">
        <v>381</v>
      </c>
      <c r="G19" s="152">
        <f>((G17-G18)*0.65)/12</f>
        <v>0</v>
      </c>
    </row>
    <row r="20" spans="1:7" x14ac:dyDescent="0.3">
      <c r="A20" s="153" t="s">
        <v>282</v>
      </c>
      <c r="B20" s="149" t="s">
        <v>382</v>
      </c>
      <c r="C20" s="150">
        <v>0</v>
      </c>
      <c r="E20" s="153" t="s">
        <v>284</v>
      </c>
      <c r="F20" s="149" t="s">
        <v>356</v>
      </c>
      <c r="G20" s="69">
        <f>'RTR '!B3</f>
        <v>0</v>
      </c>
    </row>
    <row r="21" spans="1:7" x14ac:dyDescent="0.3">
      <c r="A21" s="153" t="s">
        <v>284</v>
      </c>
      <c r="B21" s="149" t="s">
        <v>383</v>
      </c>
      <c r="C21" s="152">
        <f>((C19-C20)*0.65)/12</f>
        <v>0</v>
      </c>
      <c r="E21" s="153" t="s">
        <v>286</v>
      </c>
      <c r="F21" s="149" t="s">
        <v>384</v>
      </c>
      <c r="G21" s="186">
        <f>G19-G20</f>
        <v>0</v>
      </c>
    </row>
    <row r="22" spans="1:7" x14ac:dyDescent="0.3">
      <c r="A22" s="153" t="s">
        <v>286</v>
      </c>
      <c r="B22" s="149" t="s">
        <v>385</v>
      </c>
      <c r="C22" s="183">
        <f>'RTR '!B3</f>
        <v>0</v>
      </c>
      <c r="E22" s="156" t="s">
        <v>288</v>
      </c>
      <c r="F22" s="149" t="s">
        <v>289</v>
      </c>
      <c r="G22" s="152" t="e">
        <f>PMT('RTR '!J4/12,'RTR '!J3,-100000)</f>
        <v>#NUM!</v>
      </c>
    </row>
    <row r="23" spans="1:7" x14ac:dyDescent="0.3">
      <c r="A23" s="153" t="s">
        <v>288</v>
      </c>
      <c r="B23" s="149" t="s">
        <v>315</v>
      </c>
      <c r="C23" s="155">
        <f>C21-C22</f>
        <v>0</v>
      </c>
      <c r="E23" s="153" t="s">
        <v>290</v>
      </c>
      <c r="F23" s="154" t="s">
        <v>361</v>
      </c>
      <c r="G23" s="155" t="e">
        <f>G21/G22</f>
        <v>#NUM!</v>
      </c>
    </row>
    <row r="24" spans="1:7" x14ac:dyDescent="0.3">
      <c r="A24" s="156" t="s">
        <v>290</v>
      </c>
      <c r="B24" s="149" t="s">
        <v>289</v>
      </c>
      <c r="C24" s="152" t="e">
        <f>PMT('RTR '!J4/12,'RTR '!J3,-100000)</f>
        <v>#NUM!</v>
      </c>
      <c r="E24" s="153" t="s">
        <v>292</v>
      </c>
      <c r="F24" s="149" t="s">
        <v>293</v>
      </c>
      <c r="G24" s="69">
        <f>'RTR '!J2/100000</f>
        <v>0</v>
      </c>
    </row>
    <row r="25" spans="1:7" x14ac:dyDescent="0.3">
      <c r="A25" s="153" t="s">
        <v>292</v>
      </c>
      <c r="B25" s="154" t="s">
        <v>316</v>
      </c>
      <c r="C25" s="155" t="e">
        <f>C23/C24</f>
        <v>#NUM!</v>
      </c>
      <c r="E25" s="153" t="s">
        <v>294</v>
      </c>
      <c r="F25" s="149" t="s">
        <v>295</v>
      </c>
      <c r="G25" s="196" t="e">
        <f>'RTR '!L3/((G17-G18)/12)</f>
        <v>#NUM!</v>
      </c>
    </row>
    <row r="26" spans="1:7" x14ac:dyDescent="0.3">
      <c r="A26" s="153" t="s">
        <v>294</v>
      </c>
      <c r="B26" s="149" t="s">
        <v>293</v>
      </c>
      <c r="C26" s="159">
        <f>'RTR '!J2/100000</f>
        <v>0</v>
      </c>
    </row>
    <row r="27" spans="1:7" x14ac:dyDescent="0.3">
      <c r="A27" s="156" t="s">
        <v>317</v>
      </c>
      <c r="B27" s="154" t="s">
        <v>295</v>
      </c>
      <c r="C27" s="188" t="e">
        <f>'RTR '!L3/((C19-C20)/12)</f>
        <v>#NUM!</v>
      </c>
    </row>
  </sheetData>
  <mergeCells count="5">
    <mergeCell ref="A1:C1"/>
    <mergeCell ref="E1:G1"/>
    <mergeCell ref="A12:C12"/>
    <mergeCell ref="E13:G13"/>
    <mergeCell ref="A15:A18"/>
  </mergeCells>
  <pageMargins left="0.7" right="0.7" top="0.75" bottom="0.75" header="0.511811023622047" footer="0.511811023622047"/>
  <pageSetup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548235"/>
  </sheetPr>
  <dimension ref="A1:XFC27"/>
  <sheetViews>
    <sheetView zoomScale="98" zoomScaleNormal="98" workbookViewId="0">
      <pane ySplit="4" topLeftCell="A5" activePane="bottomLeft" state="frozen"/>
      <selection pane="bottomLeft" activeCell="I19" sqref="I19:L19"/>
    </sheetView>
  </sheetViews>
  <sheetFormatPr defaultColWidth="8.88671875" defaultRowHeight="14.4" x14ac:dyDescent="0.3"/>
  <cols>
    <col min="1" max="1" width="15.5546875" customWidth="1"/>
    <col min="2" max="2" width="15.6640625" customWidth="1"/>
    <col min="3" max="3" width="17.44140625" customWidth="1"/>
    <col min="4" max="4" width="11.5546875" customWidth="1"/>
    <col min="5" max="5" width="13.44140625" customWidth="1"/>
    <col min="6" max="7" width="14.33203125" customWidth="1"/>
    <col min="8" max="8" width="13.33203125" customWidth="1"/>
    <col min="9" max="9" width="10.33203125" customWidth="1"/>
    <col min="10" max="10" width="9.33203125" customWidth="1"/>
    <col min="11" max="11" width="11.109375" customWidth="1"/>
    <col min="12" max="12" width="11.33203125" customWidth="1"/>
    <col min="13" max="13" width="11.6640625" customWidth="1"/>
    <col min="15" max="25" width="13" hidden="1" customWidth="1"/>
    <col min="16383" max="16383" width="9" customWidth="1"/>
    <col min="16384" max="16384" width="5.88671875" hidden="1" customWidth="1"/>
  </cols>
  <sheetData>
    <row r="1" spans="1:13" x14ac:dyDescent="0.3">
      <c r="A1" s="394" t="s">
        <v>386</v>
      </c>
      <c r="B1" s="394"/>
      <c r="C1" s="394"/>
      <c r="D1" s="394"/>
      <c r="E1" s="394"/>
      <c r="F1" s="394"/>
      <c r="G1" s="394"/>
      <c r="H1" s="394"/>
      <c r="I1" s="394"/>
      <c r="J1" s="394"/>
      <c r="K1" s="394"/>
      <c r="L1" s="394"/>
      <c r="M1" s="394"/>
    </row>
    <row r="2" spans="1:13" x14ac:dyDescent="0.3">
      <c r="A2" s="395" t="s">
        <v>387</v>
      </c>
      <c r="B2" s="395"/>
      <c r="C2" s="395"/>
      <c r="D2" s="395"/>
      <c r="E2" s="395"/>
      <c r="F2" s="395"/>
      <c r="G2" s="395"/>
      <c r="H2" s="395"/>
      <c r="I2" s="395"/>
      <c r="J2" s="395"/>
      <c r="K2" s="395"/>
      <c r="L2" s="395"/>
      <c r="M2" s="395"/>
    </row>
    <row r="3" spans="1:13" ht="15" customHeight="1" x14ac:dyDescent="0.3">
      <c r="A3" s="133" t="s">
        <v>217</v>
      </c>
      <c r="B3" s="379" t="s">
        <v>218</v>
      </c>
      <c r="C3" s="379"/>
      <c r="D3" s="379"/>
      <c r="E3" s="380" t="s">
        <v>219</v>
      </c>
      <c r="F3" s="380"/>
      <c r="G3" s="379" t="s">
        <v>220</v>
      </c>
      <c r="H3" s="379"/>
      <c r="I3" s="381" t="s">
        <v>221</v>
      </c>
      <c r="J3" s="381"/>
      <c r="K3" s="381"/>
      <c r="L3" s="382" t="s">
        <v>222</v>
      </c>
      <c r="M3" s="382" t="s">
        <v>388</v>
      </c>
    </row>
    <row r="4" spans="1:13" ht="45" customHeight="1" x14ac:dyDescent="0.3">
      <c r="A4" s="134" t="s">
        <v>223</v>
      </c>
      <c r="B4" s="134" t="s">
        <v>224</v>
      </c>
      <c r="C4" s="134" t="s">
        <v>225</v>
      </c>
      <c r="D4" s="134" t="s">
        <v>226</v>
      </c>
      <c r="E4" s="134" t="s">
        <v>227</v>
      </c>
      <c r="F4" s="134" t="s">
        <v>228</v>
      </c>
      <c r="G4" s="134" t="s">
        <v>229</v>
      </c>
      <c r="H4" s="134" t="s">
        <v>230</v>
      </c>
      <c r="I4" s="134" t="s">
        <v>231</v>
      </c>
      <c r="J4" s="134" t="s">
        <v>232</v>
      </c>
      <c r="K4" s="134" t="s">
        <v>233</v>
      </c>
      <c r="L4" s="382"/>
      <c r="M4" s="382"/>
    </row>
    <row r="5" spans="1:13" x14ac:dyDescent="0.3">
      <c r="A5" s="139">
        <f>Banking!A17</f>
        <v>46134</v>
      </c>
      <c r="B5" s="197">
        <f>Banking!B17+Banking!B35+Banking!B53</f>
        <v>0</v>
      </c>
      <c r="C5" s="197">
        <f>Banking!C17+Banking!C35+Banking!C53</f>
        <v>0</v>
      </c>
      <c r="D5" s="197">
        <f>Banking!D17+Banking!D35+Banking!D53</f>
        <v>0</v>
      </c>
      <c r="E5" s="197">
        <f>Banking!E17+Banking!E35+Banking!E53</f>
        <v>0</v>
      </c>
      <c r="F5" s="197">
        <f>Banking!F17+Banking!F35+Banking!F53</f>
        <v>0</v>
      </c>
      <c r="G5" s="197">
        <f>Banking!G17+Banking!G35+Banking!G53</f>
        <v>0</v>
      </c>
      <c r="H5" s="197">
        <f>Banking!H17+Banking!H35+Banking!H53</f>
        <v>0</v>
      </c>
      <c r="I5" s="198">
        <f>Banking!I17+Banking!I35+Banking!I53</f>
        <v>0</v>
      </c>
      <c r="J5" s="198">
        <f>Banking!J17+Banking!J35+Banking!J53</f>
        <v>0</v>
      </c>
      <c r="K5" s="198">
        <f>Banking!K17+Banking!K35+Banking!K53</f>
        <v>0</v>
      </c>
      <c r="L5" s="199">
        <f t="shared" ref="L5:L16" si="0">IFERROR((AVERAGE(I5:K5)),0)</f>
        <v>0</v>
      </c>
      <c r="M5" s="200" t="e">
        <f>(L5)/'RTR '!$J$5</f>
        <v>#NUM!</v>
      </c>
    </row>
    <row r="6" spans="1:13" x14ac:dyDescent="0.3">
      <c r="A6" s="139">
        <f t="shared" ref="A6:A16" si="1">A5-30</f>
        <v>46104</v>
      </c>
      <c r="B6" s="197">
        <f>Banking!B18+Banking!B36+Banking!B54</f>
        <v>0</v>
      </c>
      <c r="C6" s="197">
        <f>Banking!C18+Banking!C36+Banking!C54</f>
        <v>0</v>
      </c>
      <c r="D6" s="197">
        <f>Banking!D18+Banking!D36+Banking!D54</f>
        <v>0</v>
      </c>
      <c r="E6" s="197">
        <f>Banking!E18+Banking!E36+Banking!E54</f>
        <v>0</v>
      </c>
      <c r="F6" s="197">
        <f>Banking!F18+Banking!F36+Banking!F54</f>
        <v>0</v>
      </c>
      <c r="G6" s="197">
        <f>Banking!G18+Banking!G36+Banking!G54</f>
        <v>0</v>
      </c>
      <c r="H6" s="197">
        <f>Banking!H18+Banking!H36+Banking!H54</f>
        <v>0</v>
      </c>
      <c r="I6" s="198">
        <f>Banking!I18+Banking!I36+Banking!I54</f>
        <v>0</v>
      </c>
      <c r="J6" s="198">
        <f>Banking!J18+Banking!J36+Banking!J54</f>
        <v>0</v>
      </c>
      <c r="K6" s="198">
        <f>Banking!K18+Banking!K36+Banking!K54</f>
        <v>0</v>
      </c>
      <c r="L6" s="199">
        <f t="shared" si="0"/>
        <v>0</v>
      </c>
      <c r="M6" s="200" t="e">
        <f>(L6)/'RTR '!$J$5</f>
        <v>#NUM!</v>
      </c>
    </row>
    <row r="7" spans="1:13" x14ac:dyDescent="0.3">
      <c r="A7" s="139">
        <f t="shared" si="1"/>
        <v>46074</v>
      </c>
      <c r="B7" s="197">
        <f>Banking!B19+Banking!B37+Banking!B55</f>
        <v>0</v>
      </c>
      <c r="C7" s="197">
        <f>Banking!C19+Banking!C37+Banking!C55</f>
        <v>0</v>
      </c>
      <c r="D7" s="197">
        <f>Banking!D19+Banking!D37+Banking!D55</f>
        <v>0</v>
      </c>
      <c r="E7" s="197">
        <f>Banking!E19+Banking!E37+Banking!E55</f>
        <v>0</v>
      </c>
      <c r="F7" s="197">
        <f>Banking!F19+Banking!F37+Banking!F55</f>
        <v>0</v>
      </c>
      <c r="G7" s="197">
        <f>Banking!G19+Banking!G37+Banking!G55</f>
        <v>0</v>
      </c>
      <c r="H7" s="197">
        <f>Banking!H19+Banking!H37+Banking!H55</f>
        <v>0</v>
      </c>
      <c r="I7" s="198">
        <f>Banking!I19+Banking!I37+Banking!I55</f>
        <v>0</v>
      </c>
      <c r="J7" s="198">
        <f>Banking!J19+Banking!J37+Banking!J55</f>
        <v>0</v>
      </c>
      <c r="K7" s="198">
        <f>Banking!K19+Banking!K37+Banking!K55</f>
        <v>0</v>
      </c>
      <c r="L7" s="199">
        <f t="shared" si="0"/>
        <v>0</v>
      </c>
      <c r="M7" s="200" t="e">
        <f>(L7)/'RTR '!$J$5</f>
        <v>#NUM!</v>
      </c>
    </row>
    <row r="8" spans="1:13" x14ac:dyDescent="0.3">
      <c r="A8" s="139">
        <f t="shared" si="1"/>
        <v>46044</v>
      </c>
      <c r="B8" s="197">
        <f>Banking!B20+Banking!B38+Banking!B56</f>
        <v>0</v>
      </c>
      <c r="C8" s="197">
        <f>Banking!C20+Banking!C38+Banking!C62</f>
        <v>0</v>
      </c>
      <c r="D8" s="197">
        <f>Banking!D20+Banking!D38+Banking!D56</f>
        <v>0</v>
      </c>
      <c r="E8" s="197">
        <f>Banking!E20+Banking!E38+Banking!E56</f>
        <v>0</v>
      </c>
      <c r="F8" s="197">
        <f>Banking!F20+Banking!F38+Banking!F56</f>
        <v>0</v>
      </c>
      <c r="G8" s="197">
        <f>Banking!G20+Banking!G38+Banking!G56</f>
        <v>0</v>
      </c>
      <c r="H8" s="197">
        <f>Banking!H20+Banking!H38+Banking!H56</f>
        <v>0</v>
      </c>
      <c r="I8" s="198">
        <f>Banking!I20+Banking!I38+Banking!I56</f>
        <v>0</v>
      </c>
      <c r="J8" s="198">
        <f>Banking!J20+Banking!J38+Banking!J56</f>
        <v>0</v>
      </c>
      <c r="K8" s="198">
        <f>Banking!K20+Banking!K38+Banking!K56</f>
        <v>0</v>
      </c>
      <c r="L8" s="199">
        <f t="shared" si="0"/>
        <v>0</v>
      </c>
      <c r="M8" s="200" t="e">
        <f>(L8)/'RTR '!$J$5</f>
        <v>#NUM!</v>
      </c>
    </row>
    <row r="9" spans="1:13" x14ac:dyDescent="0.3">
      <c r="A9" s="139">
        <f t="shared" si="1"/>
        <v>46014</v>
      </c>
      <c r="B9" s="197">
        <f>Banking!B21+Banking!B39+Banking!B57</f>
        <v>0</v>
      </c>
      <c r="C9" s="197">
        <f>Banking!C21+Banking!C39+Banking!C57</f>
        <v>0</v>
      </c>
      <c r="D9" s="197">
        <f>Banking!D21+Banking!D39+Banking!D57</f>
        <v>0</v>
      </c>
      <c r="E9" s="197">
        <f>Banking!E21+Banking!E39+Banking!E57</f>
        <v>0</v>
      </c>
      <c r="F9" s="197">
        <f>Banking!F21+Banking!F39+Banking!F57</f>
        <v>0</v>
      </c>
      <c r="G9" s="197">
        <f>Banking!G21+Banking!G39+Banking!G57</f>
        <v>0</v>
      </c>
      <c r="H9" s="197">
        <f>Banking!H21+Banking!H39+Banking!H57</f>
        <v>0</v>
      </c>
      <c r="I9" s="198">
        <f>Banking!I21+Banking!I39+Banking!I57</f>
        <v>0</v>
      </c>
      <c r="J9" s="198">
        <f>Banking!J21+Banking!J39+Banking!J57</f>
        <v>0</v>
      </c>
      <c r="K9" s="198">
        <f>Banking!K21+Banking!K39+Banking!K57</f>
        <v>0</v>
      </c>
      <c r="L9" s="199">
        <f t="shared" si="0"/>
        <v>0</v>
      </c>
      <c r="M9" s="200" t="e">
        <f>(L9)/'RTR '!$J$5</f>
        <v>#NUM!</v>
      </c>
    </row>
    <row r="10" spans="1:13" x14ac:dyDescent="0.3">
      <c r="A10" s="139">
        <f t="shared" si="1"/>
        <v>45984</v>
      </c>
      <c r="B10" s="197">
        <f>Banking!B22+Banking!B40+Banking!B58</f>
        <v>0</v>
      </c>
      <c r="C10" s="197">
        <f>Banking!C22+Banking!C40+Banking!C58</f>
        <v>0</v>
      </c>
      <c r="D10" s="197">
        <f>Banking!D22+Banking!D40+Banking!D58</f>
        <v>0</v>
      </c>
      <c r="E10" s="197">
        <f>Banking!E22+Banking!E40+Banking!E58</f>
        <v>0</v>
      </c>
      <c r="F10" s="197">
        <f>Banking!F22+Banking!F40+Banking!F58</f>
        <v>0</v>
      </c>
      <c r="G10" s="197">
        <f>Banking!G22+Banking!G40+Banking!G58</f>
        <v>0</v>
      </c>
      <c r="H10" s="197">
        <f>Banking!H22+Banking!H40+Banking!H58</f>
        <v>0</v>
      </c>
      <c r="I10" s="198">
        <f>Banking!I22+Banking!I40+Banking!I58</f>
        <v>0</v>
      </c>
      <c r="J10" s="198">
        <f>Banking!J22+Banking!J40+Banking!J58</f>
        <v>0</v>
      </c>
      <c r="K10" s="198">
        <f>Banking!K22+Banking!K40+Banking!K58</f>
        <v>0</v>
      </c>
      <c r="L10" s="199">
        <f t="shared" si="0"/>
        <v>0</v>
      </c>
      <c r="M10" s="200" t="e">
        <f>(L10)/'RTR '!$J$5</f>
        <v>#NUM!</v>
      </c>
    </row>
    <row r="11" spans="1:13" x14ac:dyDescent="0.3">
      <c r="A11" s="139">
        <f t="shared" si="1"/>
        <v>45954</v>
      </c>
      <c r="B11" s="197">
        <f>Banking!B23+Banking!B41+Banking!B59</f>
        <v>0</v>
      </c>
      <c r="C11" s="197">
        <f>Banking!C23+Banking!C41+Banking!C59</f>
        <v>0</v>
      </c>
      <c r="D11" s="197">
        <f>Banking!D23+Banking!D41+Banking!D59</f>
        <v>0</v>
      </c>
      <c r="E11" s="197">
        <f>Banking!E23+Banking!E41+Banking!E59</f>
        <v>0</v>
      </c>
      <c r="F11" s="197">
        <f>Banking!F23+Banking!F41+Banking!F59</f>
        <v>0</v>
      </c>
      <c r="G11" s="197">
        <f>Banking!G23+Banking!G41+Banking!G59</f>
        <v>0</v>
      </c>
      <c r="H11" s="197">
        <f>Banking!H23+Banking!H41+Banking!H59</f>
        <v>0</v>
      </c>
      <c r="I11" s="198">
        <f>Banking!I23+Banking!I41+Banking!I59</f>
        <v>0</v>
      </c>
      <c r="J11" s="198">
        <f>Banking!J23+Banking!J41+Banking!J59</f>
        <v>0</v>
      </c>
      <c r="K11" s="198">
        <f>Banking!K23+Banking!K41+Banking!K59</f>
        <v>0</v>
      </c>
      <c r="L11" s="199">
        <f t="shared" si="0"/>
        <v>0</v>
      </c>
      <c r="M11" s="200" t="e">
        <f>(L11)/'RTR '!$J$5</f>
        <v>#NUM!</v>
      </c>
    </row>
    <row r="12" spans="1:13" x14ac:dyDescent="0.3">
      <c r="A12" s="139">
        <f t="shared" si="1"/>
        <v>45924</v>
      </c>
      <c r="B12" s="197">
        <f>Banking!B24+Banking!B42+Banking!B60</f>
        <v>0</v>
      </c>
      <c r="C12" s="197">
        <f>Banking!C24+Banking!C42+Banking!C60</f>
        <v>0</v>
      </c>
      <c r="D12" s="197">
        <f>Banking!D24+Banking!D42+Banking!D60</f>
        <v>0</v>
      </c>
      <c r="E12" s="197">
        <f>Banking!E24+Banking!E42+Banking!E60</f>
        <v>0</v>
      </c>
      <c r="F12" s="197">
        <f>Banking!F24+Banking!F42+Banking!F60</f>
        <v>0</v>
      </c>
      <c r="G12" s="197">
        <f>Banking!G24+Banking!G42+Banking!G60</f>
        <v>0</v>
      </c>
      <c r="H12" s="197">
        <f>Banking!H24+Banking!H42+Banking!H60</f>
        <v>0</v>
      </c>
      <c r="I12" s="198">
        <f>Banking!I24+Banking!I42+Banking!I60</f>
        <v>0</v>
      </c>
      <c r="J12" s="198">
        <f>Banking!J24+Banking!J42+Banking!J60</f>
        <v>0</v>
      </c>
      <c r="K12" s="198">
        <f>Banking!K24+Banking!K42+Banking!K60</f>
        <v>0</v>
      </c>
      <c r="L12" s="199">
        <f t="shared" si="0"/>
        <v>0</v>
      </c>
      <c r="M12" s="200" t="e">
        <f>(L12)/'RTR '!$J$5</f>
        <v>#NUM!</v>
      </c>
    </row>
    <row r="13" spans="1:13" x14ac:dyDescent="0.3">
      <c r="A13" s="139">
        <f t="shared" si="1"/>
        <v>45894</v>
      </c>
      <c r="B13" s="197">
        <f>Banking!B25+Banking!B43+Banking!B61</f>
        <v>0</v>
      </c>
      <c r="C13" s="197">
        <f>Banking!C25+Banking!C43+Banking!C61</f>
        <v>0</v>
      </c>
      <c r="D13" s="197">
        <f>Banking!D25+Banking!D43+Banking!D61</f>
        <v>0</v>
      </c>
      <c r="E13" s="197">
        <f>Banking!E25+Banking!E43+Banking!E61</f>
        <v>0</v>
      </c>
      <c r="F13" s="197">
        <f>Banking!F25+Banking!F43+Banking!F61</f>
        <v>0</v>
      </c>
      <c r="G13" s="197">
        <f>Banking!G25+Banking!G43+Banking!G61</f>
        <v>0</v>
      </c>
      <c r="H13" s="197">
        <f>Banking!H25+Banking!H43+Banking!H61</f>
        <v>0</v>
      </c>
      <c r="I13" s="198">
        <f>Banking!I25+Banking!I43+Banking!I61</f>
        <v>0</v>
      </c>
      <c r="J13" s="198">
        <f>Banking!J25+Banking!J43+Banking!J61</f>
        <v>0</v>
      </c>
      <c r="K13" s="198">
        <f>Banking!K25+Banking!K43+Banking!K61</f>
        <v>0</v>
      </c>
      <c r="L13" s="199">
        <f t="shared" si="0"/>
        <v>0</v>
      </c>
      <c r="M13" s="200" t="e">
        <f>(L13)/'RTR '!$J$5</f>
        <v>#NUM!</v>
      </c>
    </row>
    <row r="14" spans="1:13" x14ac:dyDescent="0.3">
      <c r="A14" s="139">
        <f t="shared" si="1"/>
        <v>45864</v>
      </c>
      <c r="B14" s="197">
        <f>Banking!B26+Banking!B44+Banking!B62</f>
        <v>0</v>
      </c>
      <c r="C14" s="197">
        <f>Banking!C26+Banking!C44+Banking!C62</f>
        <v>0</v>
      </c>
      <c r="D14" s="197">
        <f>Banking!D26+Banking!D44+Banking!D62</f>
        <v>0</v>
      </c>
      <c r="E14" s="197">
        <f>Banking!E26+Banking!E44+Banking!E62</f>
        <v>0</v>
      </c>
      <c r="F14" s="197">
        <f>Banking!F26+Banking!F44+Banking!F62</f>
        <v>0</v>
      </c>
      <c r="G14" s="197">
        <f>Banking!G26+Banking!G44+Banking!G62</f>
        <v>0</v>
      </c>
      <c r="H14" s="197">
        <f>Banking!H26+Banking!H44+Banking!H62</f>
        <v>0</v>
      </c>
      <c r="I14" s="198">
        <f>Banking!I26+Banking!I44+Banking!I62</f>
        <v>0</v>
      </c>
      <c r="J14" s="198">
        <f>Banking!J26+Banking!J44+Banking!J62</f>
        <v>0</v>
      </c>
      <c r="K14" s="198">
        <f>Banking!K26+Banking!K44+Banking!K62</f>
        <v>0</v>
      </c>
      <c r="L14" s="199">
        <f t="shared" si="0"/>
        <v>0</v>
      </c>
      <c r="M14" s="200" t="e">
        <f>(L14)/'RTR '!$J$5</f>
        <v>#NUM!</v>
      </c>
    </row>
    <row r="15" spans="1:13" x14ac:dyDescent="0.3">
      <c r="A15" s="139">
        <f t="shared" si="1"/>
        <v>45834</v>
      </c>
      <c r="B15" s="197">
        <f>Banking!B27+Banking!B45+Banking!B63</f>
        <v>0</v>
      </c>
      <c r="C15" s="197">
        <f>Banking!C27+Banking!C45+Banking!C63</f>
        <v>0</v>
      </c>
      <c r="D15" s="197">
        <f>Banking!D27+Banking!D45+Banking!D63</f>
        <v>0</v>
      </c>
      <c r="E15" s="197">
        <f>Banking!E27+Banking!E45+Banking!E63</f>
        <v>0</v>
      </c>
      <c r="F15" s="197">
        <f>Banking!F27+Banking!F45+Banking!F63</f>
        <v>0</v>
      </c>
      <c r="G15" s="197">
        <f>Banking!G27+Banking!G45+Banking!G63</f>
        <v>0</v>
      </c>
      <c r="H15" s="197">
        <f>Banking!H27+Banking!H45+Banking!H63</f>
        <v>0</v>
      </c>
      <c r="I15" s="198">
        <f>Banking!I27+Banking!I45+Banking!I63</f>
        <v>0</v>
      </c>
      <c r="J15" s="198">
        <f>Banking!J27+Banking!J45+Banking!J63</f>
        <v>0</v>
      </c>
      <c r="K15" s="198">
        <f>Banking!K27+Banking!K45+Banking!K63</f>
        <v>0</v>
      </c>
      <c r="L15" s="199">
        <f t="shared" si="0"/>
        <v>0</v>
      </c>
      <c r="M15" s="200" t="e">
        <f>(L15)/'RTR '!$J$5</f>
        <v>#NUM!</v>
      </c>
    </row>
    <row r="16" spans="1:13" x14ac:dyDescent="0.3">
      <c r="A16" s="139">
        <f t="shared" si="1"/>
        <v>45804</v>
      </c>
      <c r="B16" s="197">
        <f>Banking!B28+Banking!B46+Banking!B64</f>
        <v>0</v>
      </c>
      <c r="C16" s="197">
        <f>Banking!C28+Banking!C46+Banking!C64</f>
        <v>0</v>
      </c>
      <c r="D16" s="197">
        <f>Banking!D28+Banking!D46+Banking!D64</f>
        <v>0</v>
      </c>
      <c r="E16" s="197">
        <f>Banking!E28+Banking!E46+Banking!E64</f>
        <v>0</v>
      </c>
      <c r="F16" s="197">
        <f>Banking!F28+Banking!F46+Banking!F64</f>
        <v>0</v>
      </c>
      <c r="G16" s="197">
        <f>Banking!G28+Banking!G46+Banking!G64</f>
        <v>0</v>
      </c>
      <c r="H16" s="197">
        <f>Banking!H28+Banking!H46+Banking!H64</f>
        <v>0</v>
      </c>
      <c r="I16" s="198">
        <f>Banking!I28+Banking!I46+Banking!I64</f>
        <v>0</v>
      </c>
      <c r="J16" s="198">
        <f>Banking!J28+Banking!J46+Banking!J64</f>
        <v>0</v>
      </c>
      <c r="K16" s="198">
        <f>Banking!K28+Banking!K46+Banking!K64</f>
        <v>0</v>
      </c>
      <c r="L16" s="199">
        <f t="shared" si="0"/>
        <v>0</v>
      </c>
      <c r="M16" s="200" t="e">
        <f>(L16)/'RTR '!$J$5</f>
        <v>#NUM!</v>
      </c>
    </row>
    <row r="17" spans="1:13" x14ac:dyDescent="0.3">
      <c r="A17" s="140" t="s">
        <v>234</v>
      </c>
      <c r="B17" s="141">
        <f>IFERROR(AVERAGE(B5:B16),0)</f>
        <v>0</v>
      </c>
      <c r="C17" s="141">
        <f>IFERROR(AVERAGE(C5:C16),0)</f>
        <v>0</v>
      </c>
      <c r="D17" s="141">
        <f>IFERROR(AVERAGE(D5:D16),0)</f>
        <v>0</v>
      </c>
      <c r="E17" s="142">
        <f>SUM(E5:E16)</f>
        <v>0</v>
      </c>
      <c r="F17" s="142">
        <f>SUM(F5:F16)</f>
        <v>0</v>
      </c>
      <c r="G17" s="142">
        <f>SUM(G5:G16)</f>
        <v>0</v>
      </c>
      <c r="H17" s="142">
        <f>SUM(H5:H16)</f>
        <v>0</v>
      </c>
      <c r="I17" s="396"/>
      <c r="J17" s="396"/>
      <c r="K17" s="396"/>
      <c r="L17" s="397">
        <f>IFERROR(AVERAGE(I5:K16),0)</f>
        <v>0</v>
      </c>
      <c r="M17" s="398" t="e">
        <f>(L17)/'RTR '!J5</f>
        <v>#NUM!</v>
      </c>
    </row>
    <row r="18" spans="1:13" x14ac:dyDescent="0.3">
      <c r="A18" s="140" t="s">
        <v>235</v>
      </c>
      <c r="B18" s="143">
        <f>IF(B17=0,0,((SUM(B5:B16)/COUNT(B5:B16))*12))</f>
        <v>0</v>
      </c>
      <c r="C18" s="143">
        <f>IF(C17=0,0,((SUM(C5:C16)/COUNT(C5:C16))*12))</f>
        <v>0</v>
      </c>
      <c r="D18" s="143">
        <f>IF(D17=0,0,((SUM(D5:D16)/COUNT(D5:D16))*12))</f>
        <v>0</v>
      </c>
      <c r="E18" s="386" t="s">
        <v>236</v>
      </c>
      <c r="F18" s="386"/>
      <c r="G18" s="127">
        <f>IF(IFERROR(G17/E17,0),G17/E17,0)</f>
        <v>0</v>
      </c>
      <c r="H18" s="127">
        <f>IF(IFERROR(H17/F17,0),H17/F17,0)</f>
        <v>0</v>
      </c>
      <c r="I18" s="396"/>
      <c r="J18" s="396"/>
      <c r="K18" s="396"/>
      <c r="L18" s="397"/>
      <c r="M18" s="397"/>
    </row>
    <row r="19" spans="1:13" x14ac:dyDescent="0.3">
      <c r="A19" s="399" t="s">
        <v>389</v>
      </c>
      <c r="B19" s="399"/>
      <c r="C19" s="399"/>
      <c r="D19" s="399"/>
      <c r="E19" s="399"/>
      <c r="F19" s="399"/>
      <c r="G19" s="399"/>
      <c r="H19" s="399"/>
      <c r="I19" s="400" t="s">
        <v>390</v>
      </c>
      <c r="J19" s="400"/>
      <c r="K19" s="400"/>
      <c r="L19" s="400"/>
      <c r="M19" s="201">
        <v>0</v>
      </c>
    </row>
    <row r="20" spans="1:13" x14ac:dyDescent="0.3">
      <c r="A20" s="399"/>
      <c r="B20" s="399"/>
      <c r="C20" s="399"/>
      <c r="D20" s="399"/>
      <c r="E20" s="399"/>
      <c r="F20" s="399"/>
      <c r="G20" s="399"/>
      <c r="H20" s="399"/>
      <c r="I20" s="401" t="s">
        <v>391</v>
      </c>
      <c r="J20" s="401"/>
      <c r="K20" s="401"/>
      <c r="L20" s="401"/>
      <c r="M20" s="202">
        <f>'RTR '!J2/100000</f>
        <v>0</v>
      </c>
    </row>
    <row r="21" spans="1:13" ht="14.25" customHeight="1" x14ac:dyDescent="0.3">
      <c r="A21" s="399"/>
      <c r="B21" s="399"/>
      <c r="C21" s="399"/>
      <c r="D21" s="399"/>
      <c r="E21" s="399"/>
      <c r="F21" s="399"/>
      <c r="G21" s="399"/>
      <c r="H21" s="399"/>
      <c r="I21" s="401" t="s">
        <v>392</v>
      </c>
      <c r="J21" s="401"/>
      <c r="K21" s="401"/>
      <c r="L21" s="401"/>
      <c r="M21" s="203">
        <f>'RTR '!J4</f>
        <v>0</v>
      </c>
    </row>
    <row r="22" spans="1:13" ht="14.25" customHeight="1" x14ac:dyDescent="0.3">
      <c r="A22" s="399"/>
      <c r="B22" s="399"/>
      <c r="C22" s="399"/>
      <c r="D22" s="399"/>
      <c r="E22" s="399"/>
      <c r="F22" s="399"/>
      <c r="G22" s="399"/>
      <c r="H22" s="399"/>
      <c r="I22" s="402" t="s">
        <v>393</v>
      </c>
      <c r="J22" s="402"/>
      <c r="K22" s="402"/>
      <c r="L22" s="402"/>
      <c r="M22" s="204">
        <f>'RTR '!J3</f>
        <v>0</v>
      </c>
    </row>
    <row r="23" spans="1:13" ht="15" customHeight="1" x14ac:dyDescent="0.3">
      <c r="A23" s="399"/>
      <c r="B23" s="399"/>
      <c r="C23" s="399"/>
      <c r="D23" s="399"/>
      <c r="E23" s="399"/>
      <c r="F23" s="399"/>
      <c r="G23" s="399"/>
      <c r="H23" s="399"/>
      <c r="I23" s="402" t="s">
        <v>394</v>
      </c>
      <c r="J23" s="402"/>
      <c r="K23" s="402"/>
      <c r="L23" s="402"/>
      <c r="M23" s="204" t="e">
        <f>(PMT(M21/12,M22,-M20*10^5))</f>
        <v>#NUM!</v>
      </c>
    </row>
    <row r="24" spans="1:13" ht="15" customHeight="1" x14ac:dyDescent="0.3">
      <c r="A24" s="399"/>
      <c r="B24" s="399"/>
      <c r="C24" s="399"/>
      <c r="D24" s="399"/>
      <c r="E24" s="399"/>
      <c r="F24" s="399"/>
      <c r="G24" s="399"/>
      <c r="H24" s="399"/>
      <c r="I24" s="402" t="s">
        <v>395</v>
      </c>
      <c r="J24" s="402"/>
      <c r="K24" s="402"/>
      <c r="L24" s="402"/>
      <c r="M24" s="202" t="e">
        <f>(L17-M19)/(M23)</f>
        <v>#NUM!</v>
      </c>
    </row>
    <row r="25" spans="1:13" ht="15" customHeight="1" x14ac:dyDescent="0.3">
      <c r="A25" s="399"/>
      <c r="B25" s="399"/>
      <c r="C25" s="399"/>
      <c r="D25" s="399"/>
      <c r="E25" s="399"/>
      <c r="F25" s="399"/>
      <c r="G25" s="399"/>
      <c r="H25" s="399"/>
      <c r="I25" s="402" t="s">
        <v>396</v>
      </c>
      <c r="J25" s="402"/>
      <c r="K25" s="402"/>
      <c r="L25" s="402"/>
      <c r="M25" s="202" t="e">
        <f>(L17-M19)/(2*(PMT(M21/12,M22,-100000)))</f>
        <v>#NUM!</v>
      </c>
    </row>
    <row r="27" spans="1:13" x14ac:dyDescent="0.3">
      <c r="A27" t="s">
        <v>397</v>
      </c>
    </row>
  </sheetData>
  <mergeCells count="20">
    <mergeCell ref="I17:K18"/>
    <mergeCell ref="L17:L18"/>
    <mergeCell ref="M17:M18"/>
    <mergeCell ref="E18:F18"/>
    <mergeCell ref="A19:H25"/>
    <mergeCell ref="I19:L19"/>
    <mergeCell ref="I20:L20"/>
    <mergeCell ref="I21:L21"/>
    <mergeCell ref="I22:L22"/>
    <mergeCell ref="I23:L23"/>
    <mergeCell ref="I24:L24"/>
    <mergeCell ref="I25:L25"/>
    <mergeCell ref="A1:M1"/>
    <mergeCell ref="A2:M2"/>
    <mergeCell ref="B3:D3"/>
    <mergeCell ref="E3:F3"/>
    <mergeCell ref="G3:H3"/>
    <mergeCell ref="I3:K3"/>
    <mergeCell ref="L3:L4"/>
    <mergeCell ref="M3:M4"/>
  </mergeCells>
  <conditionalFormatting sqref="G18:H18">
    <cfRule type="cellIs" dxfId="4" priority="6" operator="greaterThan">
      <formula>0.03</formula>
    </cfRule>
  </conditionalFormatting>
  <conditionalFormatting sqref="H18">
    <cfRule type="cellIs" dxfId="3" priority="3" operator="greaterThan">
      <formula>0.05</formula>
    </cfRule>
    <cfRule type="cellIs" dxfId="2" priority="4" operator="greaterThan">
      <formula>0.0769</formula>
    </cfRule>
    <cfRule type="cellIs" dxfId="1" priority="5" operator="greaterThan">
      <formula>5</formula>
    </cfRule>
  </conditionalFormatting>
  <conditionalFormatting sqref="M5:M17">
    <cfRule type="cellIs" dxfId="0" priority="2" operator="greaterThan">
      <formula>0.99</formula>
    </cfRule>
  </conditionalFormatting>
  <dataValidations count="3">
    <dataValidation operator="equal" allowBlank="1" showInputMessage="1" showErrorMessage="1" prompt="Figures should be in Rs. Lacs Only" sqref="B5:K16" xr:uid="{00000000-0002-0000-0A00-000000000000}">
      <formula1>0</formula1>
      <formula2>0</formula2>
    </dataValidation>
    <dataValidation allowBlank="1" showInputMessage="1" showErrorMessage="1" prompt="PLEASE PUT MONTH OF LATEST BANKING AVAILABLE_x000a_" sqref="A6:A16" xr:uid="{00000000-0002-0000-0A00-000001000000}">
      <formula1>0</formula1>
      <formula2>0</formula2>
    </dataValidation>
    <dataValidation allowBlank="1" showInputMessage="1" showErrorMessage="1" prompt="Figures should be in Rs. Lacs Only" sqref="L5:M16" xr:uid="{00000000-0002-0000-0A00-000002000000}">
      <formula1>0</formula1>
      <formula2>0</formula2>
    </dataValidation>
  </dataValidations>
  <pageMargins left="0.2" right="0.2" top="0.2" bottom="0.2" header="0.511811023622047" footer="0.1"/>
  <pageSetup scale="48" orientation="portrait" horizontalDpi="300" verticalDpi="300"/>
  <headerFooter>
    <oddFooter>&amp;C&amp;F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548235"/>
  </sheetPr>
  <dimension ref="B3:C8"/>
  <sheetViews>
    <sheetView zoomScaleNormal="100" workbookViewId="0">
      <selection activeCell="C7" sqref="C7"/>
    </sheetView>
  </sheetViews>
  <sheetFormatPr defaultColWidth="8.6640625" defaultRowHeight="14.4" x14ac:dyDescent="0.3"/>
  <cols>
    <col min="2" max="2" width="21.44140625" customWidth="1"/>
    <col min="3" max="3" width="14.33203125" customWidth="1"/>
  </cols>
  <sheetData>
    <row r="3" spans="2:3" x14ac:dyDescent="0.3">
      <c r="B3" s="75" t="s">
        <v>398</v>
      </c>
      <c r="C3" s="75" t="s">
        <v>399</v>
      </c>
    </row>
    <row r="4" spans="2:3" x14ac:dyDescent="0.3">
      <c r="B4" s="72" t="s">
        <v>400</v>
      </c>
      <c r="C4" s="205">
        <f>'Cashflow assessment'!B21</f>
        <v>0</v>
      </c>
    </row>
    <row r="5" spans="2:3" x14ac:dyDescent="0.3">
      <c r="B5" s="72" t="s">
        <v>401</v>
      </c>
      <c r="C5" s="72">
        <f>'RTR '!B3</f>
        <v>0</v>
      </c>
    </row>
    <row r="6" spans="2:3" ht="45" customHeight="1" x14ac:dyDescent="0.3">
      <c r="B6" s="206" t="s">
        <v>402</v>
      </c>
      <c r="C6" s="72" t="e">
        <f>'RTR '!J5</f>
        <v>#NUM!</v>
      </c>
    </row>
    <row r="7" spans="2:3" x14ac:dyDescent="0.3">
      <c r="B7" s="72" t="s">
        <v>403</v>
      </c>
      <c r="C7" s="72" t="e">
        <f>C5+C6</f>
        <v>#NUM!</v>
      </c>
    </row>
    <row r="8" spans="2:3" x14ac:dyDescent="0.3">
      <c r="B8" s="75" t="s">
        <v>112</v>
      </c>
      <c r="C8" s="207" t="e">
        <f>C7/C4</f>
        <v>#NUM!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C55A11"/>
  </sheetPr>
  <dimension ref="A1:Q22"/>
  <sheetViews>
    <sheetView topLeftCell="H10" zoomScaleNormal="100" workbookViewId="0">
      <pane ySplit="2" topLeftCell="A3" activePane="bottomLeft" state="frozen"/>
      <selection activeCell="H10" sqref="H10"/>
      <selection pane="bottomLeft" activeCell="O7" sqref="O7"/>
    </sheetView>
  </sheetViews>
  <sheetFormatPr defaultColWidth="8.6640625" defaultRowHeight="14.4" x14ac:dyDescent="0.3"/>
  <cols>
    <col min="1" max="1" width="29.5546875" style="208" customWidth="1"/>
    <col min="2" max="2" width="11.33203125" style="208" customWidth="1"/>
    <col min="3" max="3" width="13.33203125" style="208" customWidth="1"/>
    <col min="4" max="4" width="8.6640625" style="208"/>
    <col min="5" max="5" width="31.33203125" style="208" customWidth="1"/>
    <col min="6" max="6" width="17.33203125" style="208" customWidth="1"/>
    <col min="7" max="7" width="2.109375" style="208" customWidth="1"/>
    <col min="8" max="8" width="7.44140625" style="208" customWidth="1"/>
    <col min="9" max="9" width="48.6640625" style="208" customWidth="1"/>
    <col min="10" max="10" width="13.109375" style="209" customWidth="1"/>
    <col min="11" max="11" width="18.109375" style="208" customWidth="1"/>
    <col min="12" max="12" width="13.33203125" style="210" customWidth="1"/>
    <col min="13" max="13" width="2.44140625" style="208" customWidth="1"/>
    <col min="14" max="14" width="36.44140625" style="208" customWidth="1"/>
    <col min="15" max="15" width="14.109375" style="208" customWidth="1"/>
    <col min="16" max="16" width="14.33203125" style="208" customWidth="1"/>
    <col min="17" max="17" width="14.44140625" style="208" customWidth="1"/>
    <col min="18" max="16384" width="8.6640625" style="208"/>
  </cols>
  <sheetData>
    <row r="1" spans="1:17" ht="15.75" customHeight="1" x14ac:dyDescent="0.3"/>
    <row r="2" spans="1:17" ht="45" customHeight="1" x14ac:dyDescent="0.3">
      <c r="A2" s="403" t="s">
        <v>404</v>
      </c>
      <c r="B2" s="403"/>
      <c r="C2" s="403"/>
      <c r="D2" s="403"/>
      <c r="E2" s="403"/>
      <c r="F2" s="403"/>
      <c r="H2" s="211" t="s">
        <v>249</v>
      </c>
      <c r="I2" s="212" t="s">
        <v>405</v>
      </c>
      <c r="J2" s="213" t="s">
        <v>406</v>
      </c>
      <c r="K2" s="213" t="s">
        <v>407</v>
      </c>
      <c r="L2" s="214" t="s">
        <v>408</v>
      </c>
      <c r="N2" s="404" t="s">
        <v>409</v>
      </c>
      <c r="O2" s="404"/>
      <c r="P2" s="404"/>
      <c r="Q2" s="404"/>
    </row>
    <row r="3" spans="1:17" ht="30.75" customHeight="1" x14ac:dyDescent="0.3">
      <c r="A3" s="403" t="s">
        <v>410</v>
      </c>
      <c r="B3" s="403"/>
      <c r="C3" s="403"/>
      <c r="D3" s="215"/>
      <c r="E3" s="405" t="s">
        <v>411</v>
      </c>
      <c r="F3" s="405"/>
      <c r="H3" s="121">
        <v>1</v>
      </c>
      <c r="I3" s="216" t="s">
        <v>412</v>
      </c>
      <c r="J3" s="217">
        <f>B21</f>
        <v>0</v>
      </c>
      <c r="K3" s="217">
        <f>+J3*12</f>
        <v>0</v>
      </c>
      <c r="L3" s="218" t="e">
        <f>+K3/K3*100</f>
        <v>#DIV/0!</v>
      </c>
      <c r="N3" s="219" t="s">
        <v>413</v>
      </c>
      <c r="O3" s="220" t="s">
        <v>414</v>
      </c>
      <c r="P3" s="221" t="s">
        <v>415</v>
      </c>
      <c r="Q3" s="220" t="s">
        <v>416</v>
      </c>
    </row>
    <row r="4" spans="1:17" ht="30.75" customHeight="1" x14ac:dyDescent="0.3">
      <c r="A4" s="215" t="s">
        <v>398</v>
      </c>
      <c r="B4" s="222" t="s">
        <v>417</v>
      </c>
      <c r="C4" s="223" t="s">
        <v>418</v>
      </c>
      <c r="D4" s="224"/>
      <c r="E4" s="215" t="s">
        <v>398</v>
      </c>
      <c r="F4" s="225" t="s">
        <v>417</v>
      </c>
      <c r="H4" s="66"/>
      <c r="I4" s="226" t="s">
        <v>419</v>
      </c>
      <c r="J4" s="227"/>
      <c r="K4" s="71"/>
      <c r="L4" s="228"/>
      <c r="N4" s="71" t="s">
        <v>420</v>
      </c>
      <c r="O4" s="229">
        <f>+K17</f>
        <v>-128400</v>
      </c>
      <c r="P4" s="230" t="s">
        <v>106</v>
      </c>
      <c r="Q4" s="231">
        <f>+O4</f>
        <v>-128400</v>
      </c>
    </row>
    <row r="5" spans="1:17" ht="45" customHeight="1" x14ac:dyDescent="0.3">
      <c r="A5" s="232" t="s">
        <v>421</v>
      </c>
      <c r="B5" s="233"/>
      <c r="C5" s="234" t="e">
        <f t="shared" ref="C5:C13" si="0">+B5/F$5*100</f>
        <v>#DIV/0!</v>
      </c>
      <c r="D5" s="235"/>
      <c r="E5" s="232" t="s">
        <v>422</v>
      </c>
      <c r="F5" s="233"/>
      <c r="H5" s="66">
        <v>2</v>
      </c>
      <c r="I5" s="236" t="s">
        <v>423</v>
      </c>
      <c r="J5" s="227">
        <v>2500</v>
      </c>
      <c r="K5" s="231">
        <f t="shared" ref="K5:K14" si="1">+J5*12</f>
        <v>30000</v>
      </c>
      <c r="L5" s="228" t="e">
        <f t="shared" ref="L5:L14" si="2">+K5/K$3*100</f>
        <v>#DIV/0!</v>
      </c>
      <c r="N5" s="71" t="s">
        <v>424</v>
      </c>
      <c r="O5" s="231">
        <f>+Q4</f>
        <v>-128400</v>
      </c>
      <c r="P5" s="237">
        <v>0.15</v>
      </c>
      <c r="Q5" s="231">
        <f>+O5-(O5*P5)</f>
        <v>-109140</v>
      </c>
    </row>
    <row r="6" spans="1:17" x14ac:dyDescent="0.3">
      <c r="A6" s="238" t="s">
        <v>425</v>
      </c>
      <c r="B6" s="239"/>
      <c r="C6" s="234" t="e">
        <f t="shared" si="0"/>
        <v>#DIV/0!</v>
      </c>
      <c r="D6" s="238"/>
      <c r="E6" s="238" t="s">
        <v>426</v>
      </c>
      <c r="F6" s="239"/>
      <c r="H6" s="66">
        <v>3</v>
      </c>
      <c r="I6" s="236" t="s">
        <v>427</v>
      </c>
      <c r="J6" s="227">
        <v>2000</v>
      </c>
      <c r="K6" s="231">
        <f t="shared" si="1"/>
        <v>24000</v>
      </c>
      <c r="L6" s="228" t="e">
        <f t="shared" si="2"/>
        <v>#DIV/0!</v>
      </c>
      <c r="N6" s="71" t="s">
        <v>428</v>
      </c>
      <c r="O6" s="231">
        <f>+Q5</f>
        <v>-109140</v>
      </c>
      <c r="P6" s="237">
        <v>0.3</v>
      </c>
      <c r="Q6" s="231">
        <f>+O6-(O6*P6)</f>
        <v>-76398</v>
      </c>
    </row>
    <row r="7" spans="1:17" x14ac:dyDescent="0.3">
      <c r="A7" s="238" t="s">
        <v>429</v>
      </c>
      <c r="B7" s="239"/>
      <c r="C7" s="234" t="e">
        <f t="shared" si="0"/>
        <v>#DIV/0!</v>
      </c>
      <c r="D7" s="238"/>
      <c r="E7" s="238"/>
      <c r="F7" s="239"/>
      <c r="H7" s="66">
        <v>4</v>
      </c>
      <c r="I7" s="236" t="s">
        <v>430</v>
      </c>
      <c r="J7" s="227">
        <v>1500</v>
      </c>
      <c r="K7" s="231">
        <f t="shared" si="1"/>
        <v>18000</v>
      </c>
      <c r="L7" s="228" t="e">
        <f t="shared" si="2"/>
        <v>#DIV/0!</v>
      </c>
      <c r="N7" s="71" t="s">
        <v>431</v>
      </c>
      <c r="O7" s="231">
        <f>+Q6</f>
        <v>-76398</v>
      </c>
      <c r="P7" s="237">
        <v>1</v>
      </c>
      <c r="Q7" s="231">
        <f>+O7-(O7*P7)</f>
        <v>0</v>
      </c>
    </row>
    <row r="8" spans="1:17" x14ac:dyDescent="0.3">
      <c r="A8" s="238" t="s">
        <v>432</v>
      </c>
      <c r="B8" s="239"/>
      <c r="C8" s="234" t="e">
        <f t="shared" si="0"/>
        <v>#DIV/0!</v>
      </c>
      <c r="D8" s="238"/>
      <c r="E8" s="238"/>
      <c r="F8" s="239"/>
      <c r="H8" s="66">
        <v>5</v>
      </c>
      <c r="I8" s="236" t="s">
        <v>360</v>
      </c>
      <c r="J8" s="227">
        <v>800</v>
      </c>
      <c r="K8" s="231">
        <f t="shared" si="1"/>
        <v>9600</v>
      </c>
      <c r="L8" s="228" t="e">
        <f t="shared" si="2"/>
        <v>#DIV/0!</v>
      </c>
      <c r="N8" s="71" t="s">
        <v>433</v>
      </c>
      <c r="O8" s="231">
        <f>+Q6</f>
        <v>-76398</v>
      </c>
      <c r="P8" s="237">
        <v>0.25</v>
      </c>
      <c r="Q8" s="231">
        <f>+O8-(O8*P8)</f>
        <v>-57298.5</v>
      </c>
    </row>
    <row r="9" spans="1:17" x14ac:dyDescent="0.3">
      <c r="A9" s="238" t="s">
        <v>434</v>
      </c>
      <c r="B9" s="239"/>
      <c r="C9" s="234" t="e">
        <f t="shared" si="0"/>
        <v>#DIV/0!</v>
      </c>
      <c r="D9" s="238"/>
      <c r="E9" s="238"/>
      <c r="F9" s="239"/>
      <c r="H9" s="66">
        <v>6</v>
      </c>
      <c r="I9" s="236" t="s">
        <v>435</v>
      </c>
      <c r="J9" s="227">
        <v>1200</v>
      </c>
      <c r="K9" s="231">
        <f t="shared" si="1"/>
        <v>14400</v>
      </c>
      <c r="L9" s="228" t="e">
        <f t="shared" si="2"/>
        <v>#DIV/0!</v>
      </c>
      <c r="N9" s="71" t="s">
        <v>436</v>
      </c>
      <c r="O9" s="231">
        <f>+Q6</f>
        <v>-76398</v>
      </c>
      <c r="P9" s="237">
        <v>0.15</v>
      </c>
      <c r="Q9" s="240">
        <f>+O9-(O9*P9)</f>
        <v>-64938.3</v>
      </c>
    </row>
    <row r="10" spans="1:17" x14ac:dyDescent="0.3">
      <c r="A10" s="238" t="s">
        <v>437</v>
      </c>
      <c r="B10" s="239"/>
      <c r="C10" s="234" t="e">
        <f t="shared" si="0"/>
        <v>#DIV/0!</v>
      </c>
      <c r="D10" s="238"/>
      <c r="E10" s="238"/>
      <c r="F10" s="239"/>
      <c r="H10" s="66">
        <v>7</v>
      </c>
      <c r="I10" s="236" t="s">
        <v>438</v>
      </c>
      <c r="J10" s="227">
        <v>1000</v>
      </c>
      <c r="K10" s="231">
        <f t="shared" si="1"/>
        <v>12000</v>
      </c>
      <c r="L10" s="228" t="e">
        <f t="shared" si="2"/>
        <v>#DIV/0!</v>
      </c>
      <c r="N10" s="226" t="s">
        <v>439</v>
      </c>
      <c r="O10" s="241">
        <f>+SUM(O5:O9)</f>
        <v>-466734</v>
      </c>
      <c r="P10" s="242"/>
      <c r="Q10" s="241">
        <f>+SUM(Q5:Q9)</f>
        <v>-307774.8</v>
      </c>
    </row>
    <row r="11" spans="1:17" x14ac:dyDescent="0.3">
      <c r="A11" s="238" t="s">
        <v>440</v>
      </c>
      <c r="B11" s="239"/>
      <c r="C11" s="234" t="e">
        <f t="shared" si="0"/>
        <v>#DIV/0!</v>
      </c>
      <c r="D11" s="238"/>
      <c r="E11" s="238"/>
      <c r="F11" s="239"/>
      <c r="H11" s="66">
        <v>8</v>
      </c>
      <c r="I11" s="236" t="s">
        <v>441</v>
      </c>
      <c r="J11" s="227">
        <v>200</v>
      </c>
      <c r="K11" s="231">
        <f t="shared" si="1"/>
        <v>2400</v>
      </c>
      <c r="L11" s="228" t="e">
        <f t="shared" si="2"/>
        <v>#DIV/0!</v>
      </c>
      <c r="N11" s="71"/>
      <c r="O11" s="71"/>
      <c r="P11" s="71"/>
      <c r="Q11" s="71"/>
    </row>
    <row r="12" spans="1:17" ht="30" customHeight="1" x14ac:dyDescent="0.3">
      <c r="A12" s="243" t="s">
        <v>442</v>
      </c>
      <c r="B12" s="239"/>
      <c r="C12" s="234" t="e">
        <f t="shared" si="0"/>
        <v>#DIV/0!</v>
      </c>
      <c r="D12" s="244"/>
      <c r="E12" s="244"/>
      <c r="F12" s="245"/>
      <c r="H12" s="66">
        <v>9</v>
      </c>
      <c r="I12" s="236" t="s">
        <v>443</v>
      </c>
      <c r="J12" s="227">
        <v>1000</v>
      </c>
      <c r="K12" s="231">
        <f t="shared" si="1"/>
        <v>12000</v>
      </c>
      <c r="L12" s="228" t="e">
        <f t="shared" si="2"/>
        <v>#DIV/0!</v>
      </c>
      <c r="N12" s="373" t="s">
        <v>444</v>
      </c>
      <c r="O12" s="373"/>
      <c r="P12" s="373"/>
      <c r="Q12" s="373"/>
    </row>
    <row r="13" spans="1:17" ht="15.75" customHeight="1" x14ac:dyDescent="0.3">
      <c r="A13" s="246" t="s">
        <v>445</v>
      </c>
      <c r="B13" s="247">
        <f>+F14-SUM(B5:B12)</f>
        <v>0</v>
      </c>
      <c r="C13" s="248" t="e">
        <f t="shared" si="0"/>
        <v>#DIV/0!</v>
      </c>
      <c r="D13" s="249"/>
      <c r="E13" s="249"/>
      <c r="F13" s="250"/>
      <c r="H13" s="66">
        <v>10</v>
      </c>
      <c r="I13" s="236" t="s">
        <v>446</v>
      </c>
      <c r="J13" s="227">
        <v>300</v>
      </c>
      <c r="K13" s="231">
        <f t="shared" si="1"/>
        <v>3600</v>
      </c>
      <c r="L13" s="228" t="e">
        <f t="shared" si="2"/>
        <v>#DIV/0!</v>
      </c>
      <c r="N13" s="406" t="s">
        <v>447</v>
      </c>
      <c r="O13" s="406"/>
      <c r="P13" s="251" t="s">
        <v>448</v>
      </c>
      <c r="Q13" s="251" t="s">
        <v>449</v>
      </c>
    </row>
    <row r="14" spans="1:17" ht="15.75" customHeight="1" x14ac:dyDescent="0.3">
      <c r="A14" s="252" t="s">
        <v>168</v>
      </c>
      <c r="B14" s="252">
        <f>+SUM(B5:B13)</f>
        <v>0</v>
      </c>
      <c r="C14" s="252"/>
      <c r="D14" s="215"/>
      <c r="E14" s="215" t="s">
        <v>168</v>
      </c>
      <c r="F14" s="252">
        <f>+SUM(F5:F10)</f>
        <v>0</v>
      </c>
      <c r="H14" s="66">
        <v>11</v>
      </c>
      <c r="I14" s="71" t="s">
        <v>450</v>
      </c>
      <c r="J14" s="227">
        <v>200</v>
      </c>
      <c r="K14" s="231">
        <f t="shared" si="1"/>
        <v>2400</v>
      </c>
      <c r="L14" s="228" t="e">
        <f t="shared" si="2"/>
        <v>#DIV/0!</v>
      </c>
      <c r="N14" s="407" t="s">
        <v>451</v>
      </c>
      <c r="O14" s="407"/>
      <c r="P14" s="231">
        <f>+Q10*30%</f>
        <v>-92332.439999999988</v>
      </c>
      <c r="Q14" s="68">
        <f>+P14/Q$10*100</f>
        <v>30</v>
      </c>
    </row>
    <row r="15" spans="1:17" x14ac:dyDescent="0.3">
      <c r="A15" s="238" t="s">
        <v>452</v>
      </c>
      <c r="B15" s="239"/>
      <c r="C15" s="253" t="e">
        <f t="shared" ref="C15:C21" si="3">+B15/F$5*100</f>
        <v>#DIV/0!</v>
      </c>
      <c r="D15" s="254"/>
      <c r="E15" s="238" t="s">
        <v>453</v>
      </c>
      <c r="F15" s="255">
        <f>+B13</f>
        <v>0</v>
      </c>
      <c r="H15" s="256"/>
      <c r="I15" s="257" t="s">
        <v>454</v>
      </c>
      <c r="J15" s="258">
        <f>+SUM(J5:J14)</f>
        <v>10700</v>
      </c>
      <c r="K15" s="258">
        <f>+SUM(K5:K14)</f>
        <v>128400</v>
      </c>
      <c r="L15" s="259" t="e">
        <f>+SUM(L5:L14)</f>
        <v>#DIV/0!</v>
      </c>
      <c r="N15" s="407" t="s">
        <v>455</v>
      </c>
      <c r="O15" s="407"/>
      <c r="P15" s="227"/>
      <c r="Q15" s="68">
        <f>+P15/Q$10*100</f>
        <v>0</v>
      </c>
    </row>
    <row r="16" spans="1:17" x14ac:dyDescent="0.3">
      <c r="A16" s="238" t="s">
        <v>456</v>
      </c>
      <c r="B16" s="239"/>
      <c r="C16" s="253" t="e">
        <f t="shared" si="3"/>
        <v>#DIV/0!</v>
      </c>
      <c r="D16" s="254"/>
      <c r="E16" s="238" t="s">
        <v>457</v>
      </c>
      <c r="F16" s="238"/>
      <c r="H16" s="260"/>
      <c r="I16" s="260"/>
      <c r="J16" s="261"/>
      <c r="K16" s="260"/>
      <c r="L16" s="262"/>
      <c r="N16" s="407" t="s">
        <v>458</v>
      </c>
      <c r="O16" s="407"/>
      <c r="P16" s="227"/>
      <c r="Q16" s="68">
        <f>+P16/Q$10*100</f>
        <v>0</v>
      </c>
    </row>
    <row r="17" spans="1:17" x14ac:dyDescent="0.3">
      <c r="A17" s="238" t="s">
        <v>459</v>
      </c>
      <c r="B17" s="239"/>
      <c r="C17" s="253" t="e">
        <f t="shared" si="3"/>
        <v>#DIV/0!</v>
      </c>
      <c r="D17" s="254"/>
      <c r="E17" s="238" t="s">
        <v>267</v>
      </c>
      <c r="F17" s="238"/>
      <c r="H17" s="257"/>
      <c r="I17" s="257" t="s">
        <v>460</v>
      </c>
      <c r="J17" s="258">
        <f>+J3-J15</f>
        <v>-10700</v>
      </c>
      <c r="K17" s="263">
        <f>+K3-K15</f>
        <v>-128400</v>
      </c>
      <c r="L17" s="264" t="e">
        <f>+L3-L15</f>
        <v>#DIV/0!</v>
      </c>
      <c r="N17" s="406" t="s">
        <v>461</v>
      </c>
      <c r="O17" s="406"/>
      <c r="P17" s="241">
        <f>+SUM(P14:P16)</f>
        <v>-92332.439999999988</v>
      </c>
      <c r="Q17" s="265">
        <f>+SUM(Q14:Q16)</f>
        <v>30</v>
      </c>
    </row>
    <row r="18" spans="1:17" x14ac:dyDescent="0.3">
      <c r="A18" s="238" t="s">
        <v>462</v>
      </c>
      <c r="B18" s="239"/>
      <c r="C18" s="253" t="e">
        <f t="shared" si="3"/>
        <v>#DIV/0!</v>
      </c>
      <c r="D18" s="254"/>
      <c r="E18" s="238"/>
      <c r="F18" s="238"/>
    </row>
    <row r="19" spans="1:17" x14ac:dyDescent="0.3">
      <c r="A19" s="244" t="s">
        <v>463</v>
      </c>
      <c r="B19" s="245"/>
      <c r="C19" s="266" t="e">
        <f t="shared" si="3"/>
        <v>#DIV/0!</v>
      </c>
      <c r="D19" s="254"/>
      <c r="E19" s="238"/>
      <c r="F19" s="238"/>
    </row>
    <row r="20" spans="1:17" x14ac:dyDescent="0.3">
      <c r="A20" s="244" t="s">
        <v>464</v>
      </c>
      <c r="B20" s="245"/>
      <c r="C20" s="267" t="e">
        <f t="shared" si="3"/>
        <v>#DIV/0!</v>
      </c>
      <c r="D20" s="268"/>
      <c r="E20" s="238"/>
      <c r="F20" s="238"/>
    </row>
    <row r="21" spans="1:17" ht="15.75" customHeight="1" x14ac:dyDescent="0.3">
      <c r="A21" s="246" t="s">
        <v>465</v>
      </c>
      <c r="B21" s="247">
        <f>+F22-SUM(B15:B19)</f>
        <v>0</v>
      </c>
      <c r="C21" s="248" t="e">
        <f t="shared" si="3"/>
        <v>#DIV/0!</v>
      </c>
      <c r="D21" s="269"/>
      <c r="E21" s="246"/>
      <c r="F21" s="246"/>
    </row>
    <row r="22" spans="1:17" ht="15.75" customHeight="1" x14ac:dyDescent="0.3">
      <c r="A22" s="215" t="s">
        <v>168</v>
      </c>
      <c r="B22" s="252">
        <f>+SUM(B15:B21)</f>
        <v>0</v>
      </c>
      <c r="C22" s="215"/>
      <c r="D22" s="270"/>
      <c r="E22" s="215" t="s">
        <v>168</v>
      </c>
      <c r="F22" s="252">
        <f>+SUM(F15:F17)</f>
        <v>0</v>
      </c>
    </row>
  </sheetData>
  <mergeCells count="10">
    <mergeCell ref="N13:O13"/>
    <mergeCell ref="N14:O14"/>
    <mergeCell ref="N15:O15"/>
    <mergeCell ref="N16:O16"/>
    <mergeCell ref="N17:O17"/>
    <mergeCell ref="A2:F2"/>
    <mergeCell ref="N2:Q2"/>
    <mergeCell ref="A3:C3"/>
    <mergeCell ref="E3:F3"/>
    <mergeCell ref="N12:Q1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C55A11"/>
  </sheetPr>
  <dimension ref="A1:AME1048560"/>
  <sheetViews>
    <sheetView topLeftCell="AE1" zoomScaleNormal="100" workbookViewId="0">
      <pane ySplit="3" topLeftCell="A4" activePane="bottomLeft" state="frozen"/>
      <selection pane="bottomLeft" activeCell="D51" sqref="D51"/>
    </sheetView>
  </sheetViews>
  <sheetFormatPr defaultColWidth="9.109375" defaultRowHeight="14.4" x14ac:dyDescent="0.3"/>
  <cols>
    <col min="1" max="1" width="56.109375" style="271" customWidth="1"/>
    <col min="2" max="2" width="18" style="272" customWidth="1"/>
    <col min="3" max="4" width="15.88671875" style="272" customWidth="1"/>
    <col min="5" max="5" width="12.109375" style="271" customWidth="1"/>
    <col min="6" max="6" width="13.44140625" style="271" customWidth="1"/>
    <col min="7" max="1019" width="9.109375" style="271"/>
    <col min="1020" max="16384" width="9.109375" style="273"/>
  </cols>
  <sheetData>
    <row r="1" spans="1:6" s="274" customFormat="1" ht="18.75" customHeight="1" x14ac:dyDescent="0.3">
      <c r="A1" s="408" t="s">
        <v>466</v>
      </c>
      <c r="B1" s="408"/>
      <c r="C1" s="408"/>
      <c r="D1" s="408"/>
      <c r="E1" s="408"/>
      <c r="F1" s="408"/>
    </row>
    <row r="2" spans="1:6" s="271" customFormat="1" ht="18.75" customHeight="1" x14ac:dyDescent="0.3">
      <c r="A2" s="275" t="s">
        <v>467</v>
      </c>
      <c r="B2" s="409" t="s">
        <v>468</v>
      </c>
      <c r="C2" s="409"/>
      <c r="D2" s="409"/>
      <c r="E2" s="409"/>
      <c r="F2" s="409"/>
    </row>
    <row r="3" spans="1:6" s="271" customFormat="1" ht="15" customHeight="1" x14ac:dyDescent="0.3">
      <c r="A3" s="276" t="s">
        <v>398</v>
      </c>
      <c r="B3" s="277" t="str">
        <f>'Fin -1'!B3</f>
        <v>Audited</v>
      </c>
      <c r="C3" s="277" t="str">
        <f>'Fin -1'!C3</f>
        <v>Audited</v>
      </c>
      <c r="D3" s="277" t="str">
        <f>'Fin -1'!D3</f>
        <v>Audited</v>
      </c>
      <c r="E3" s="410" t="s">
        <v>469</v>
      </c>
      <c r="F3" s="410"/>
    </row>
    <row r="4" spans="1:6" s="271" customFormat="1" x14ac:dyDescent="0.3">
      <c r="A4" s="278" t="s">
        <v>470</v>
      </c>
      <c r="B4" s="279">
        <f>'Fin -1'!B4</f>
        <v>45382</v>
      </c>
      <c r="C4" s="279">
        <f>'Fin -1'!C4</f>
        <v>45747</v>
      </c>
      <c r="D4" s="279">
        <f>'Fin -1'!D4</f>
        <v>46112</v>
      </c>
      <c r="E4" s="280">
        <f>C4</f>
        <v>45747</v>
      </c>
      <c r="F4" s="280">
        <f>D4</f>
        <v>46112</v>
      </c>
    </row>
    <row r="5" spans="1:6" s="271" customFormat="1" x14ac:dyDescent="0.3">
      <c r="A5" s="281" t="s">
        <v>471</v>
      </c>
      <c r="B5" s="282">
        <f>'Fin -1'!B5+'Fin -2'!B5+'Fin -3'!B5+'Fin -4'!B5</f>
        <v>0</v>
      </c>
      <c r="C5" s="282">
        <f>'Fin -1'!C5+'Fin -2'!C5+'Fin -3'!C5+'Fin -4'!C5</f>
        <v>0</v>
      </c>
      <c r="D5" s="282">
        <f>'Fin -1'!D5+'Fin -2'!D5+'Fin -3'!D5+'Fin -4'!D5</f>
        <v>0</v>
      </c>
      <c r="E5" s="283" t="str">
        <f t="shared" ref="E5:E28" si="0">IF(B5=0,"",(C5-B5)/B5)</f>
        <v/>
      </c>
      <c r="F5" s="283" t="str">
        <f t="shared" ref="F5:F28" si="1">IF(C5=0,"",(D5-C5)/C5)</f>
        <v/>
      </c>
    </row>
    <row r="6" spans="1:6" s="271" customFormat="1" x14ac:dyDescent="0.3">
      <c r="A6" s="284" t="s">
        <v>472</v>
      </c>
      <c r="B6" s="282">
        <f>'Fin -1'!B6+'Fin -2'!B6+'Fin -3'!B6+'Fin -4'!B6</f>
        <v>0</v>
      </c>
      <c r="C6" s="282">
        <f>'Fin -1'!C6+'Fin -2'!C6+'Fin -3'!C6+'Fin -4'!C6</f>
        <v>0</v>
      </c>
      <c r="D6" s="282">
        <f>'Fin -1'!D6+'Fin -2'!D6+'Fin -3'!D6+'Fin -4'!D6</f>
        <v>0</v>
      </c>
      <c r="E6" s="283" t="str">
        <f t="shared" si="0"/>
        <v/>
      </c>
      <c r="F6" s="283" t="str">
        <f t="shared" si="1"/>
        <v/>
      </c>
    </row>
    <row r="7" spans="1:6" s="271" customFormat="1" x14ac:dyDescent="0.3">
      <c r="A7" s="285" t="s">
        <v>473</v>
      </c>
      <c r="B7" s="286">
        <f>'Fin -1'!B7+'Fin -2'!B7+'Fin -3'!B7+'Fin -4'!B7</f>
        <v>0</v>
      </c>
      <c r="C7" s="286">
        <f>'Fin -1'!C7+'Fin -2'!C7+'Fin -3'!C7+'Fin -4'!C7</f>
        <v>0</v>
      </c>
      <c r="D7" s="286">
        <f>'Fin -1'!D7+'Fin -2'!D7+'Fin -3'!D7+'Fin -4'!D7</f>
        <v>0</v>
      </c>
      <c r="E7" s="283" t="str">
        <f t="shared" si="0"/>
        <v/>
      </c>
      <c r="F7" s="283" t="str">
        <f t="shared" si="1"/>
        <v/>
      </c>
    </row>
    <row r="8" spans="1:6" s="271" customFormat="1" x14ac:dyDescent="0.3">
      <c r="A8" s="281" t="s">
        <v>474</v>
      </c>
      <c r="B8" s="282">
        <f>'Fin -1'!B8+'Fin -2'!B8+'Fin -3'!B8+'Fin -4'!B8</f>
        <v>0</v>
      </c>
      <c r="C8" s="282">
        <f>'Fin -1'!C8+'Fin -2'!C8+'Fin -3'!C8+'Fin -4'!C8</f>
        <v>0</v>
      </c>
      <c r="D8" s="282">
        <f>'Fin -1'!D8+'Fin -2'!D8+'Fin -3'!D8+'Fin -4'!D8</f>
        <v>0</v>
      </c>
      <c r="E8" s="283" t="str">
        <f t="shared" si="0"/>
        <v/>
      </c>
      <c r="F8" s="283" t="str">
        <f t="shared" si="1"/>
        <v/>
      </c>
    </row>
    <row r="9" spans="1:6" s="271" customFormat="1" x14ac:dyDescent="0.3">
      <c r="A9" s="285" t="s">
        <v>475</v>
      </c>
      <c r="B9" s="286">
        <f>'Fin -1'!B9+'Fin -2'!B9+'Fin -3'!B9+'Fin -4'!B9</f>
        <v>0</v>
      </c>
      <c r="C9" s="286">
        <f>'Fin -1'!C9+'Fin -2'!C9+'Fin -3'!C9+'Fin -4'!C9</f>
        <v>0</v>
      </c>
      <c r="D9" s="286">
        <f>'Fin -1'!D9+'Fin -2'!D9+'Fin -3'!D9+'Fin -4'!D9</f>
        <v>0</v>
      </c>
      <c r="E9" s="283" t="str">
        <f t="shared" si="0"/>
        <v/>
      </c>
      <c r="F9" s="283" t="str">
        <f t="shared" si="1"/>
        <v/>
      </c>
    </row>
    <row r="10" spans="1:6" s="271" customFormat="1" x14ac:dyDescent="0.3">
      <c r="A10" s="285" t="s">
        <v>476</v>
      </c>
      <c r="B10" s="286">
        <f>'Fin -1'!B10+'Fin -2'!B10+'Fin -3'!B10+'Fin -4'!B10</f>
        <v>0</v>
      </c>
      <c r="C10" s="286">
        <f>'Fin -1'!C10+'Fin -2'!C10+'Fin -3'!C10+'Fin -4'!C10</f>
        <v>0</v>
      </c>
      <c r="D10" s="286">
        <f>'Fin -1'!D10+'Fin -2'!D10+'Fin -3'!D10+'Fin -4'!D10</f>
        <v>0</v>
      </c>
      <c r="E10" s="283" t="str">
        <f t="shared" si="0"/>
        <v/>
      </c>
      <c r="F10" s="283" t="str">
        <f t="shared" si="1"/>
        <v/>
      </c>
    </row>
    <row r="11" spans="1:6" s="288" customFormat="1" x14ac:dyDescent="0.3">
      <c r="A11" s="287" t="s">
        <v>355</v>
      </c>
      <c r="B11" s="282">
        <f>'Fin -1'!B11+'Fin -2'!B11+'Fin -3'!B11+'Fin -4'!B11</f>
        <v>0</v>
      </c>
      <c r="C11" s="282">
        <f>'Fin -1'!C11+'Fin -2'!C11+'Fin -3'!C11+'Fin -4'!C11</f>
        <v>0</v>
      </c>
      <c r="D11" s="282">
        <f>'Fin -1'!D11+'Fin -2'!D11+'Fin -3'!D11+'Fin -4'!D11</f>
        <v>0</v>
      </c>
      <c r="E11" s="283" t="str">
        <f t="shared" si="0"/>
        <v/>
      </c>
      <c r="F11" s="283" t="str">
        <f t="shared" si="1"/>
        <v/>
      </c>
    </row>
    <row r="12" spans="1:6" s="271" customFormat="1" x14ac:dyDescent="0.3">
      <c r="A12" s="281" t="s">
        <v>477</v>
      </c>
      <c r="B12" s="282">
        <f>'Fin -1'!B12+'Fin -2'!B12+'Fin -3'!B12+'Fin -4'!B12</f>
        <v>0</v>
      </c>
      <c r="C12" s="282">
        <f>'Fin -1'!C12+'Fin -2'!C12+'Fin -3'!C12+'Fin -4'!C12</f>
        <v>0</v>
      </c>
      <c r="D12" s="282">
        <f>'Fin -1'!D12+'Fin -2'!D12+'Fin -3'!D12+'Fin -4'!D12</f>
        <v>0</v>
      </c>
      <c r="E12" s="283" t="str">
        <f t="shared" si="0"/>
        <v/>
      </c>
      <c r="F12" s="283" t="str">
        <f t="shared" si="1"/>
        <v/>
      </c>
    </row>
    <row r="13" spans="1:6" s="271" customFormat="1" x14ac:dyDescent="0.3">
      <c r="A13" s="281" t="s">
        <v>478</v>
      </c>
      <c r="B13" s="282">
        <f>'Fin -1'!B13+'Fin -2'!B13+'Fin -3'!B13+'Fin -4'!B13</f>
        <v>0</v>
      </c>
      <c r="C13" s="282">
        <f>'Fin -1'!C13+'Fin -2'!C13+'Fin -3'!C13+'Fin -4'!C13</f>
        <v>0</v>
      </c>
      <c r="D13" s="282">
        <f>'Fin -1'!D13+'Fin -2'!D13+'Fin -3'!D13+'Fin -4'!D13</f>
        <v>0</v>
      </c>
      <c r="E13" s="283" t="str">
        <f t="shared" si="0"/>
        <v/>
      </c>
      <c r="F13" s="283" t="str">
        <f t="shared" si="1"/>
        <v/>
      </c>
    </row>
    <row r="14" spans="1:6" s="271" customFormat="1" x14ac:dyDescent="0.3">
      <c r="A14" s="281" t="s">
        <v>479</v>
      </c>
      <c r="B14" s="282">
        <f>'Fin -1'!B14+'Fin -2'!B14+'Fin -3'!B14+'Fin -4'!B14</f>
        <v>0</v>
      </c>
      <c r="C14" s="282">
        <f>'Fin -1'!C14+'Fin -2'!C14+'Fin -3'!C14+'Fin -4'!C14</f>
        <v>0</v>
      </c>
      <c r="D14" s="282">
        <f>'Fin -1'!D14+'Fin -2'!D14+'Fin -3'!D14+'Fin -4'!D14</f>
        <v>0</v>
      </c>
      <c r="E14" s="283" t="str">
        <f t="shared" si="0"/>
        <v/>
      </c>
      <c r="F14" s="283" t="str">
        <f t="shared" si="1"/>
        <v/>
      </c>
    </row>
    <row r="15" spans="1:6" s="271" customFormat="1" x14ac:dyDescent="0.3">
      <c r="A15" s="281" t="s">
        <v>480</v>
      </c>
      <c r="B15" s="282">
        <f>'Fin -1'!B15+'Fin -2'!B15+'Fin -3'!B15+'Fin -4'!B15</f>
        <v>0</v>
      </c>
      <c r="C15" s="282">
        <f>'Fin -1'!C15+'Fin -2'!C15+'Fin -3'!C15+'Fin -4'!C15</f>
        <v>0</v>
      </c>
      <c r="D15" s="282">
        <f>'Fin -1'!D15+'Fin -2'!D15+'Fin -3'!D15+'Fin -4'!D15</f>
        <v>0</v>
      </c>
      <c r="E15" s="283" t="str">
        <f t="shared" si="0"/>
        <v/>
      </c>
      <c r="F15" s="283" t="str">
        <f t="shared" si="1"/>
        <v/>
      </c>
    </row>
    <row r="16" spans="1:6" s="271" customFormat="1" x14ac:dyDescent="0.3">
      <c r="A16" s="281" t="s">
        <v>481</v>
      </c>
      <c r="B16" s="282">
        <f>'Fin -1'!B16+'Fin -2'!B16+'Fin -3'!B16+'Fin -4'!B16</f>
        <v>0</v>
      </c>
      <c r="C16" s="282">
        <f>'Fin -1'!C16+'Fin -2'!C16+'Fin -3'!C16+'Fin -4'!C16</f>
        <v>0</v>
      </c>
      <c r="D16" s="282">
        <f>'Fin -1'!D16+'Fin -2'!D16+'Fin -3'!D16+'Fin -4'!D16</f>
        <v>0</v>
      </c>
      <c r="E16" s="283" t="str">
        <f t="shared" si="0"/>
        <v/>
      </c>
      <c r="F16" s="283" t="str">
        <f t="shared" si="1"/>
        <v/>
      </c>
    </row>
    <row r="17" spans="1:6" s="271" customFormat="1" x14ac:dyDescent="0.3">
      <c r="A17" s="285" t="s">
        <v>482</v>
      </c>
      <c r="B17" s="286">
        <f>'Fin -1'!B17+'Fin -2'!B17+'Fin -3'!B17+'Fin -4'!B17</f>
        <v>0</v>
      </c>
      <c r="C17" s="286">
        <f>'Fin -1'!C17+'Fin -2'!C17+'Fin -3'!C17+'Fin -4'!C17</f>
        <v>0</v>
      </c>
      <c r="D17" s="286">
        <f>'Fin -1'!D17+'Fin -2'!D17+'Fin -3'!D17+'Fin -4'!D17</f>
        <v>0</v>
      </c>
      <c r="E17" s="283" t="str">
        <f t="shared" si="0"/>
        <v/>
      </c>
      <c r="F17" s="283" t="str">
        <f t="shared" si="1"/>
        <v/>
      </c>
    </row>
    <row r="18" spans="1:6" s="271" customFormat="1" x14ac:dyDescent="0.3">
      <c r="A18" s="281" t="s">
        <v>483</v>
      </c>
      <c r="B18" s="282">
        <f>'Fin -1'!B18+'Fin -2'!B18+'Fin -3'!B18+'Fin -4'!B18</f>
        <v>0</v>
      </c>
      <c r="C18" s="282">
        <f>'Fin -1'!C18+'Fin -2'!C18+'Fin -3'!C18+'Fin -4'!C18</f>
        <v>0</v>
      </c>
      <c r="D18" s="282">
        <f>'Fin -1'!D18+'Fin -2'!D18+'Fin -3'!D18+'Fin -4'!D18</f>
        <v>0</v>
      </c>
      <c r="E18" s="283" t="str">
        <f t="shared" si="0"/>
        <v/>
      </c>
      <c r="F18" s="283" t="str">
        <f t="shared" si="1"/>
        <v/>
      </c>
    </row>
    <row r="19" spans="1:6" s="271" customFormat="1" x14ac:dyDescent="0.3">
      <c r="A19" s="281" t="s">
        <v>484</v>
      </c>
      <c r="B19" s="282">
        <f>'Fin -1'!B19+'Fin -2'!B19+'Fin -3'!B19+'Fin -4'!B19</f>
        <v>0</v>
      </c>
      <c r="C19" s="282">
        <f>'Fin -1'!C19+'Fin -2'!C19+'Fin -3'!C19+'Fin -4'!C19</f>
        <v>0</v>
      </c>
      <c r="D19" s="282">
        <f>'Fin -1'!D19+'Fin -2'!D19+'Fin -3'!D19+'Fin -4'!D19</f>
        <v>0</v>
      </c>
      <c r="E19" s="283" t="str">
        <f t="shared" si="0"/>
        <v/>
      </c>
      <c r="F19" s="283" t="str">
        <f t="shared" si="1"/>
        <v/>
      </c>
    </row>
    <row r="20" spans="1:6" s="271" customFormat="1" x14ac:dyDescent="0.3">
      <c r="A20" s="281" t="s">
        <v>485</v>
      </c>
      <c r="B20" s="282">
        <f>'Fin -1'!B20+'Fin -2'!B20+'Fin -3'!B20+'Fin -4'!B20</f>
        <v>0</v>
      </c>
      <c r="C20" s="282">
        <f>'Fin -1'!C20+'Fin -2'!C20+'Fin -3'!C20+'Fin -4'!C20</f>
        <v>0</v>
      </c>
      <c r="D20" s="282">
        <f>'Fin -1'!D20+'Fin -2'!D20+'Fin -3'!D20+'Fin -4'!D20</f>
        <v>0</v>
      </c>
      <c r="E20" s="283" t="str">
        <f t="shared" si="0"/>
        <v/>
      </c>
      <c r="F20" s="283" t="str">
        <f t="shared" si="1"/>
        <v/>
      </c>
    </row>
    <row r="21" spans="1:6" s="271" customFormat="1" x14ac:dyDescent="0.3">
      <c r="A21" s="281" t="s">
        <v>299</v>
      </c>
      <c r="B21" s="282">
        <f>'Fin -1'!B21+'Fin -2'!B21+'Fin -3'!B21+'Fin -4'!B21</f>
        <v>0</v>
      </c>
      <c r="C21" s="282">
        <f>'Fin -1'!C21+'Fin -2'!C21+'Fin -3'!C21+'Fin -4'!C21</f>
        <v>0</v>
      </c>
      <c r="D21" s="282">
        <f>'Fin -1'!D21+'Fin -2'!D21+'Fin -3'!D21+'Fin -4'!D21</f>
        <v>0</v>
      </c>
      <c r="E21" s="283" t="str">
        <f t="shared" si="0"/>
        <v/>
      </c>
      <c r="F21" s="283" t="str">
        <f t="shared" si="1"/>
        <v/>
      </c>
    </row>
    <row r="22" spans="1:6" s="271" customFormat="1" x14ac:dyDescent="0.3">
      <c r="A22" s="281" t="s">
        <v>486</v>
      </c>
      <c r="B22" s="282">
        <f>'Fin -1'!B22+'Fin -2'!B22+'Fin -3'!B22+'Fin -4'!B22</f>
        <v>0</v>
      </c>
      <c r="C22" s="282">
        <f>'Fin -1'!C22+'Fin -2'!C22+'Fin -3'!C22+'Fin -4'!C22</f>
        <v>0</v>
      </c>
      <c r="D22" s="282">
        <f>'Fin -1'!D22+'Fin -2'!D22+'Fin -3'!D22+'Fin -4'!D22</f>
        <v>0</v>
      </c>
      <c r="E22" s="283" t="str">
        <f t="shared" si="0"/>
        <v/>
      </c>
      <c r="F22" s="283" t="str">
        <f t="shared" si="1"/>
        <v/>
      </c>
    </row>
    <row r="23" spans="1:6" s="271" customFormat="1" x14ac:dyDescent="0.3">
      <c r="A23" s="285" t="s">
        <v>487</v>
      </c>
      <c r="B23" s="286">
        <f>'Fin -1'!B23+'Fin -2'!B23+'Fin -3'!B23+'Fin -4'!B23</f>
        <v>0</v>
      </c>
      <c r="C23" s="286">
        <f>'Fin -1'!C23+'Fin -2'!C23+'Fin -3'!C23+'Fin -4'!C23</f>
        <v>0</v>
      </c>
      <c r="D23" s="286">
        <f>'Fin -1'!D23+'Fin -2'!D23+'Fin -3'!D23+'Fin -4'!D23</f>
        <v>0</v>
      </c>
      <c r="E23" s="283" t="str">
        <f t="shared" si="0"/>
        <v/>
      </c>
      <c r="F23" s="283" t="str">
        <f t="shared" si="1"/>
        <v/>
      </c>
    </row>
    <row r="24" spans="1:6" s="271" customFormat="1" x14ac:dyDescent="0.3">
      <c r="A24" s="285" t="s">
        <v>488</v>
      </c>
      <c r="B24" s="289">
        <f>'Fin -1'!B24+'Fin -2'!B24+'Fin -3'!B24+'Fin -4'!B24</f>
        <v>0</v>
      </c>
      <c r="C24" s="289">
        <f>'Fin -1'!C24+'Fin -2'!C24+'Fin -3'!C24+'Fin -4'!C24</f>
        <v>0</v>
      </c>
      <c r="D24" s="289">
        <f>'Fin -1'!D24+'Fin -2'!D24+'Fin -3'!D24+'Fin -4'!D24</f>
        <v>0</v>
      </c>
      <c r="E24" s="283" t="str">
        <f t="shared" si="0"/>
        <v/>
      </c>
      <c r="F24" s="283" t="str">
        <f t="shared" si="1"/>
        <v/>
      </c>
    </row>
    <row r="25" spans="1:6" s="271" customFormat="1" x14ac:dyDescent="0.3">
      <c r="A25" s="281" t="s">
        <v>489</v>
      </c>
      <c r="B25" s="282">
        <f>'Fin -1'!B25+'Fin -2'!B25+'Fin -3'!B25+'Fin -4'!B25</f>
        <v>0</v>
      </c>
      <c r="C25" s="282">
        <f>'Fin -1'!C25+'Fin -2'!C25+'Fin -3'!C25+'Fin -4'!C25</f>
        <v>0</v>
      </c>
      <c r="D25" s="282">
        <f>'Fin -1'!D25+'Fin -2'!D25+'Fin -3'!D25+'Fin -4'!D25</f>
        <v>0</v>
      </c>
      <c r="E25" s="283" t="str">
        <f t="shared" si="0"/>
        <v/>
      </c>
      <c r="F25" s="283" t="str">
        <f t="shared" si="1"/>
        <v/>
      </c>
    </row>
    <row r="26" spans="1:6" s="271" customFormat="1" x14ac:dyDescent="0.3">
      <c r="A26" s="285" t="s">
        <v>490</v>
      </c>
      <c r="B26" s="286">
        <f>'Fin -1'!B26+'Fin -2'!B26+'Fin -3'!B26+'Fin -4'!B26</f>
        <v>0</v>
      </c>
      <c r="C26" s="286">
        <f>'Fin -1'!C26+'Fin -2'!C26+'Fin -3'!C26+'Fin -4'!C26</f>
        <v>0</v>
      </c>
      <c r="D26" s="286">
        <f>'Fin -1'!D26+'Fin -2'!D26+'Fin -3'!D26+'Fin -4'!D26</f>
        <v>0</v>
      </c>
      <c r="E26" s="283" t="str">
        <f t="shared" si="0"/>
        <v/>
      </c>
      <c r="F26" s="283" t="str">
        <f t="shared" si="1"/>
        <v/>
      </c>
    </row>
    <row r="27" spans="1:6" s="271" customFormat="1" x14ac:dyDescent="0.3">
      <c r="A27" s="285" t="s">
        <v>491</v>
      </c>
      <c r="B27" s="286">
        <f>'Fin -1'!B27+'Fin -2'!B27+'Fin -3'!B27+'Fin -4'!B27</f>
        <v>0</v>
      </c>
      <c r="C27" s="286">
        <f>'Fin -1'!C27+'Fin -2'!C27+'Fin -3'!C27+'Fin -4'!C27</f>
        <v>0</v>
      </c>
      <c r="D27" s="286">
        <f>'Fin -1'!D27+'Fin -2'!D27+'Fin -3'!D27+'Fin -4'!D27</f>
        <v>0</v>
      </c>
      <c r="E27" s="283" t="str">
        <f t="shared" si="0"/>
        <v/>
      </c>
      <c r="F27" s="283" t="str">
        <f t="shared" si="1"/>
        <v/>
      </c>
    </row>
    <row r="28" spans="1:6" s="271" customFormat="1" x14ac:dyDescent="0.3">
      <c r="A28" s="285" t="s">
        <v>492</v>
      </c>
      <c r="B28" s="286">
        <f>'Fin -1'!B28+'Fin -2'!B28+'Fin -3'!B28+'Fin -4'!B28</f>
        <v>0</v>
      </c>
      <c r="C28" s="286">
        <f>'Fin -1'!C28+'Fin -2'!C28+'Fin -3'!C28+'Fin -4'!C28</f>
        <v>0</v>
      </c>
      <c r="D28" s="286">
        <f>'Fin -1'!D28+'Fin -2'!D28+'Fin -3'!D28+'Fin -4'!D28</f>
        <v>0</v>
      </c>
      <c r="E28" s="283" t="str">
        <f t="shared" si="0"/>
        <v/>
      </c>
      <c r="F28" s="283" t="str">
        <f t="shared" si="1"/>
        <v/>
      </c>
    </row>
    <row r="29" spans="1:6" s="271" customFormat="1" x14ac:dyDescent="0.3">
      <c r="A29" s="290"/>
      <c r="B29" s="291"/>
      <c r="C29" s="291"/>
      <c r="D29" s="291"/>
      <c r="E29" s="292" t="str">
        <f>IF(B29=0,"",(C29-B29)/B29)</f>
        <v/>
      </c>
      <c r="F29" s="292"/>
    </row>
    <row r="30" spans="1:6" s="274" customFormat="1" x14ac:dyDescent="0.3">
      <c r="A30" s="278" t="s">
        <v>493</v>
      </c>
      <c r="B30" s="293">
        <f>B4</f>
        <v>45382</v>
      </c>
      <c r="C30" s="293">
        <f>C4</f>
        <v>45747</v>
      </c>
      <c r="D30" s="293">
        <f>D4</f>
        <v>46112</v>
      </c>
      <c r="E30" s="411" t="s">
        <v>469</v>
      </c>
      <c r="F30" s="411"/>
    </row>
    <row r="31" spans="1:6" s="271" customFormat="1" x14ac:dyDescent="0.3">
      <c r="A31" s="278" t="s">
        <v>494</v>
      </c>
      <c r="B31" s="294"/>
      <c r="C31" s="294"/>
      <c r="D31" s="294"/>
      <c r="E31" s="295">
        <f>E4</f>
        <v>45747</v>
      </c>
      <c r="F31" s="295">
        <f>F4</f>
        <v>46112</v>
      </c>
    </row>
    <row r="32" spans="1:6" s="271" customFormat="1" x14ac:dyDescent="0.3">
      <c r="A32" s="281" t="s">
        <v>495</v>
      </c>
      <c r="B32" s="282">
        <f>'Fin -1'!B32+'Fin -2'!B32+'Fin -3'!B32+'Fin -4'!B32</f>
        <v>0</v>
      </c>
      <c r="C32" s="282">
        <f>'Fin -1'!C32+'Fin -2'!C32+'Fin -3'!C32+'Fin -4'!C32</f>
        <v>0</v>
      </c>
      <c r="D32" s="282">
        <f>'Fin -1'!D32+'Fin -2'!D32+'Fin -3'!D32+'Fin -4'!D32</f>
        <v>0</v>
      </c>
      <c r="E32" s="283" t="str">
        <f t="shared" ref="E32:E76" si="2">IF(B32=0,"",(C32-B32)/B32)</f>
        <v/>
      </c>
      <c r="F32" s="283" t="str">
        <f t="shared" ref="F32:F76" si="3">IF(C32=0,"",(D32-C32)/C32)</f>
        <v/>
      </c>
    </row>
    <row r="33" spans="1:6" s="271" customFormat="1" x14ac:dyDescent="0.3">
      <c r="A33" s="281" t="s">
        <v>496</v>
      </c>
      <c r="B33" s="282">
        <f>'Fin -1'!B33+'Fin -2'!B33+'Fin -3'!B33+'Fin -4'!B33</f>
        <v>0</v>
      </c>
      <c r="C33" s="282">
        <f>'Fin -1'!C33+'Fin -2'!C33+'Fin -3'!C33+'Fin -4'!C33</f>
        <v>0</v>
      </c>
      <c r="D33" s="282">
        <f>'Fin -1'!D33+'Fin -2'!D33+'Fin -3'!D33+'Fin -4'!D33</f>
        <v>0</v>
      </c>
      <c r="E33" s="283" t="str">
        <f t="shared" si="2"/>
        <v/>
      </c>
      <c r="F33" s="283" t="str">
        <f t="shared" si="3"/>
        <v/>
      </c>
    </row>
    <row r="34" spans="1:6" s="271" customFormat="1" x14ac:dyDescent="0.3">
      <c r="A34" s="285" t="s">
        <v>497</v>
      </c>
      <c r="B34" s="286">
        <f>'Fin -1'!B34+'Fin -2'!B34+'Fin -3'!B34+'Fin -4'!B34</f>
        <v>0</v>
      </c>
      <c r="C34" s="286">
        <f>'Fin -1'!C34+'Fin -2'!C34+'Fin -3'!C34+'Fin -4'!C34</f>
        <v>0</v>
      </c>
      <c r="D34" s="286">
        <f>'Fin -1'!D34+'Fin -2'!D34+'Fin -3'!D34+'Fin -4'!D34</f>
        <v>0</v>
      </c>
      <c r="E34" s="283" t="str">
        <f t="shared" si="2"/>
        <v/>
      </c>
      <c r="F34" s="283" t="str">
        <f t="shared" si="3"/>
        <v/>
      </c>
    </row>
    <row r="35" spans="1:6" s="271" customFormat="1" x14ac:dyDescent="0.3">
      <c r="A35" s="281" t="s">
        <v>498</v>
      </c>
      <c r="B35" s="282">
        <f>'Fin -1'!B35+'Fin -2'!B35+'Fin -3'!B35+'Fin -4'!B35</f>
        <v>0</v>
      </c>
      <c r="C35" s="282">
        <f>'Fin -1'!C35+'Fin -2'!C35+'Fin -3'!C35+'Fin -4'!C35</f>
        <v>0</v>
      </c>
      <c r="D35" s="282">
        <f>'Fin -1'!D35+'Fin -2'!D35+'Fin -3'!D35+'Fin -4'!D35</f>
        <v>0</v>
      </c>
      <c r="E35" s="283" t="str">
        <f t="shared" si="2"/>
        <v/>
      </c>
      <c r="F35" s="283" t="str">
        <f t="shared" si="3"/>
        <v/>
      </c>
    </row>
    <row r="36" spans="1:6" s="271" customFormat="1" x14ac:dyDescent="0.3">
      <c r="A36" s="285" t="s">
        <v>499</v>
      </c>
      <c r="B36" s="286">
        <f>'Fin -1'!B36+'Fin -2'!B36+'Fin -3'!B36+'Fin -4'!B36</f>
        <v>0</v>
      </c>
      <c r="C36" s="286">
        <f>'Fin -1'!C36+'Fin -2'!C36+'Fin -3'!C36+'Fin -4'!C36</f>
        <v>0</v>
      </c>
      <c r="D36" s="286">
        <f>'Fin -1'!D36+'Fin -2'!D36+'Fin -3'!D36+'Fin -4'!D36</f>
        <v>0</v>
      </c>
      <c r="E36" s="283" t="str">
        <f t="shared" si="2"/>
        <v/>
      </c>
      <c r="F36" s="283" t="str">
        <f t="shared" si="3"/>
        <v/>
      </c>
    </row>
    <row r="37" spans="1:6" s="271" customFormat="1" x14ac:dyDescent="0.3">
      <c r="A37" s="281" t="s">
        <v>500</v>
      </c>
      <c r="B37" s="282">
        <f>'Fin -1'!B37+'Fin -2'!B37+'Fin -3'!B37+'Fin -4'!B37</f>
        <v>0</v>
      </c>
      <c r="C37" s="282">
        <f>'Fin -1'!C37+'Fin -2'!C37+'Fin -3'!C37+'Fin -4'!C37</f>
        <v>0</v>
      </c>
      <c r="D37" s="282">
        <f>'Fin -1'!D37+'Fin -2'!D37+'Fin -3'!D37+'Fin -4'!D37</f>
        <v>0</v>
      </c>
      <c r="E37" s="283" t="str">
        <f t="shared" si="2"/>
        <v/>
      </c>
      <c r="F37" s="283" t="str">
        <f t="shared" si="3"/>
        <v/>
      </c>
    </row>
    <row r="38" spans="1:6" s="271" customFormat="1" x14ac:dyDescent="0.3">
      <c r="A38" s="285" t="s">
        <v>501</v>
      </c>
      <c r="B38" s="286">
        <f>'Fin -1'!B38+'Fin -2'!B38+'Fin -3'!B38+'Fin -4'!B38</f>
        <v>0</v>
      </c>
      <c r="C38" s="286">
        <f>'Fin -1'!C38+'Fin -2'!C38+'Fin -3'!C38+'Fin -4'!C38</f>
        <v>0</v>
      </c>
      <c r="D38" s="286">
        <f>'Fin -1'!D38+'Fin -2'!D38+'Fin -3'!D38+'Fin -4'!D38</f>
        <v>0</v>
      </c>
      <c r="E38" s="283" t="str">
        <f t="shared" si="2"/>
        <v/>
      </c>
      <c r="F38" s="283" t="str">
        <f t="shared" si="3"/>
        <v/>
      </c>
    </row>
    <row r="39" spans="1:6" s="271" customFormat="1" x14ac:dyDescent="0.3">
      <c r="A39" s="296" t="s">
        <v>502</v>
      </c>
      <c r="B39" s="282">
        <f>'Fin -1'!B39+'Fin -2'!B39+'Fin -3'!B39+'Fin -4'!B39</f>
        <v>0</v>
      </c>
      <c r="C39" s="282">
        <f>'Fin -1'!C39+'Fin -2'!C39+'Fin -3'!C39+'Fin -4'!C39</f>
        <v>0</v>
      </c>
      <c r="D39" s="282">
        <f>'Fin -1'!D39+'Fin -2'!D39+'Fin -3'!D39+'Fin -4'!D39</f>
        <v>0</v>
      </c>
      <c r="E39" s="283" t="str">
        <f t="shared" si="2"/>
        <v/>
      </c>
      <c r="F39" s="283" t="str">
        <f t="shared" si="3"/>
        <v/>
      </c>
    </row>
    <row r="40" spans="1:6" s="271" customFormat="1" x14ac:dyDescent="0.3">
      <c r="A40" s="281" t="s">
        <v>503</v>
      </c>
      <c r="B40" s="282">
        <f>'Fin -1'!B40+'Fin -2'!B40+'Fin -3'!B40+'Fin -4'!B40</f>
        <v>0</v>
      </c>
      <c r="C40" s="282">
        <f>'Fin -1'!C40+'Fin -2'!C40+'Fin -3'!C40+'Fin -4'!C40</f>
        <v>0</v>
      </c>
      <c r="D40" s="282">
        <f>'Fin -1'!D40+'Fin -2'!D40+'Fin -3'!D40+'Fin -4'!D40</f>
        <v>0</v>
      </c>
      <c r="E40" s="283" t="str">
        <f t="shared" si="2"/>
        <v/>
      </c>
      <c r="F40" s="283" t="str">
        <f t="shared" si="3"/>
        <v/>
      </c>
    </row>
    <row r="41" spans="1:6" s="271" customFormat="1" x14ac:dyDescent="0.3">
      <c r="A41" s="281" t="s">
        <v>504</v>
      </c>
      <c r="B41" s="282">
        <f>'Fin -1'!B41+'Fin -2'!B41+'Fin -3'!B41+'Fin -4'!B41</f>
        <v>0</v>
      </c>
      <c r="C41" s="282">
        <f>'Fin -1'!C41+'Fin -2'!C41+'Fin -3'!C41+'Fin -4'!C41</f>
        <v>0</v>
      </c>
      <c r="D41" s="282">
        <f>'Fin -1'!D41+'Fin -2'!D41+'Fin -3'!D41+'Fin -4'!D41</f>
        <v>0</v>
      </c>
      <c r="E41" s="283" t="str">
        <f t="shared" si="2"/>
        <v/>
      </c>
      <c r="F41" s="283" t="str">
        <f t="shared" si="3"/>
        <v/>
      </c>
    </row>
    <row r="42" spans="1:6" s="271" customFormat="1" x14ac:dyDescent="0.3">
      <c r="A42" s="285" t="s">
        <v>505</v>
      </c>
      <c r="B42" s="286">
        <f>'Fin -1'!B42+'Fin -2'!B42+'Fin -3'!B42+'Fin -4'!B42</f>
        <v>0</v>
      </c>
      <c r="C42" s="286">
        <f>'Fin -1'!C42+'Fin -2'!C42+'Fin -3'!C42+'Fin -4'!C42</f>
        <v>0</v>
      </c>
      <c r="D42" s="286">
        <f>'Fin -1'!D42+'Fin -2'!D42+'Fin -3'!D42+'Fin -4'!D42</f>
        <v>0</v>
      </c>
      <c r="E42" s="283" t="str">
        <f t="shared" si="2"/>
        <v/>
      </c>
      <c r="F42" s="283" t="str">
        <f t="shared" si="3"/>
        <v/>
      </c>
    </row>
    <row r="43" spans="1:6" s="271" customFormat="1" x14ac:dyDescent="0.3">
      <c r="A43" s="281" t="s">
        <v>506</v>
      </c>
      <c r="B43" s="282">
        <f>'Fin -1'!B43+'Fin -2'!B43+'Fin -3'!B43+'Fin -4'!B43</f>
        <v>0</v>
      </c>
      <c r="C43" s="282">
        <f>'Fin -1'!C43+'Fin -2'!C43+'Fin -3'!C43+'Fin -4'!C43</f>
        <v>0</v>
      </c>
      <c r="D43" s="282">
        <f>'Fin -1'!D43+'Fin -2'!D43+'Fin -3'!D43+'Fin -4'!D43</f>
        <v>0</v>
      </c>
      <c r="E43" s="283" t="str">
        <f t="shared" si="2"/>
        <v/>
      </c>
      <c r="F43" s="283" t="str">
        <f t="shared" si="3"/>
        <v/>
      </c>
    </row>
    <row r="44" spans="1:6" s="271" customFormat="1" x14ac:dyDescent="0.3">
      <c r="A44" s="281" t="s">
        <v>507</v>
      </c>
      <c r="B44" s="282">
        <f>'Fin -1'!B44+'Fin -2'!B44+'Fin -3'!B44+'Fin -4'!B44</f>
        <v>0</v>
      </c>
      <c r="C44" s="282">
        <f>'Fin -1'!C44+'Fin -2'!C44+'Fin -3'!C44+'Fin -4'!C44</f>
        <v>0</v>
      </c>
      <c r="D44" s="282">
        <f>'Fin -1'!D44+'Fin -2'!D44+'Fin -3'!D44+'Fin -4'!D44</f>
        <v>0</v>
      </c>
      <c r="E44" s="283" t="str">
        <f t="shared" si="2"/>
        <v/>
      </c>
      <c r="F44" s="283" t="str">
        <f t="shared" si="3"/>
        <v/>
      </c>
    </row>
    <row r="45" spans="1:6" s="271" customFormat="1" x14ac:dyDescent="0.3">
      <c r="A45" s="285" t="s">
        <v>508</v>
      </c>
      <c r="B45" s="286">
        <f>'Fin -1'!B45+'Fin -2'!B45+'Fin -3'!B45+'Fin -4'!B45</f>
        <v>0</v>
      </c>
      <c r="C45" s="286">
        <f>'Fin -1'!C45+'Fin -2'!C45+'Fin -3'!C45+'Fin -4'!C45</f>
        <v>0</v>
      </c>
      <c r="D45" s="286">
        <f>'Fin -1'!D45+'Fin -2'!D45+'Fin -3'!D45+'Fin -4'!D45</f>
        <v>0</v>
      </c>
      <c r="E45" s="283" t="str">
        <f t="shared" si="2"/>
        <v/>
      </c>
      <c r="F45" s="283" t="str">
        <f t="shared" si="3"/>
        <v/>
      </c>
    </row>
    <row r="46" spans="1:6" s="271" customFormat="1" x14ac:dyDescent="0.3">
      <c r="A46" s="281" t="s">
        <v>509</v>
      </c>
      <c r="B46" s="282">
        <f>'Fin -1'!B46+'Fin -2'!B46+'Fin -3'!B46+'Fin -4'!B46</f>
        <v>0</v>
      </c>
      <c r="C46" s="282">
        <f>'Fin -1'!C46+'Fin -2'!C46+'Fin -3'!C46+'Fin -4'!C46</f>
        <v>0</v>
      </c>
      <c r="D46" s="282">
        <f>'Fin -1'!D46+'Fin -2'!D46+'Fin -3'!D46+'Fin -4'!D46</f>
        <v>0</v>
      </c>
      <c r="E46" s="283" t="str">
        <f t="shared" si="2"/>
        <v/>
      </c>
      <c r="F46" s="283" t="str">
        <f t="shared" si="3"/>
        <v/>
      </c>
    </row>
    <row r="47" spans="1:6" s="271" customFormat="1" x14ac:dyDescent="0.3">
      <c r="A47" s="281" t="s">
        <v>510</v>
      </c>
      <c r="B47" s="282">
        <f>'Fin -1'!B47+'Fin -2'!B47+'Fin -3'!B47+'Fin -4'!B47</f>
        <v>0</v>
      </c>
      <c r="C47" s="282">
        <f>'Fin -1'!C47+'Fin -2'!C47+'Fin -3'!C47+'Fin -4'!C47</f>
        <v>0</v>
      </c>
      <c r="D47" s="282">
        <f>'Fin -1'!D47+'Fin -2'!D47+'Fin -3'!D47+'Fin -4'!D47</f>
        <v>0</v>
      </c>
      <c r="E47" s="283" t="str">
        <f t="shared" si="2"/>
        <v/>
      </c>
      <c r="F47" s="283" t="str">
        <f t="shared" si="3"/>
        <v/>
      </c>
    </row>
    <row r="48" spans="1:6" s="271" customFormat="1" x14ac:dyDescent="0.3">
      <c r="A48" s="285" t="s">
        <v>511</v>
      </c>
      <c r="B48" s="286">
        <f>'Fin -1'!B48+'Fin -2'!B48+'Fin -3'!B48+'Fin -4'!B48</f>
        <v>0</v>
      </c>
      <c r="C48" s="286">
        <f>'Fin -1'!C48+'Fin -2'!C48+'Fin -3'!C48+'Fin -4'!C48</f>
        <v>0</v>
      </c>
      <c r="D48" s="286">
        <f>'Fin -1'!D48+'Fin -2'!D48+'Fin -3'!D48+'Fin -4'!D48</f>
        <v>0</v>
      </c>
      <c r="E48" s="283" t="str">
        <f t="shared" si="2"/>
        <v/>
      </c>
      <c r="F48" s="283" t="str">
        <f t="shared" si="3"/>
        <v/>
      </c>
    </row>
    <row r="49" spans="1:6" s="271" customFormat="1" x14ac:dyDescent="0.3">
      <c r="A49" s="281" t="s">
        <v>512</v>
      </c>
      <c r="B49" s="282">
        <f>'Fin -1'!B49+'Fin -2'!B49+'Fin -3'!B49+'Fin -4'!B49</f>
        <v>0</v>
      </c>
      <c r="C49" s="282">
        <f>'Fin -1'!C49+'Fin -2'!C49+'Fin -3'!C49+'Fin -4'!C49</f>
        <v>0</v>
      </c>
      <c r="D49" s="282">
        <f>'Fin -1'!D49+'Fin -2'!D49+'Fin -3'!D49+'Fin -4'!D49</f>
        <v>0</v>
      </c>
      <c r="E49" s="283" t="str">
        <f t="shared" si="2"/>
        <v/>
      </c>
      <c r="F49" s="283" t="str">
        <f t="shared" si="3"/>
        <v/>
      </c>
    </row>
    <row r="50" spans="1:6" s="271" customFormat="1" x14ac:dyDescent="0.3">
      <c r="A50" s="281" t="s">
        <v>513</v>
      </c>
      <c r="B50" s="282">
        <f>'Fin -1'!B50+'Fin -2'!B50+'Fin -3'!B50+'Fin -4'!B50</f>
        <v>0</v>
      </c>
      <c r="C50" s="282">
        <f>'Fin -1'!C50+'Fin -2'!C50+'Fin -3'!C50+'Fin -4'!C50</f>
        <v>0</v>
      </c>
      <c r="D50" s="282">
        <f>'Fin -1'!D50+'Fin -2'!D50+'Fin -3'!D50+'Fin -4'!D50</f>
        <v>0</v>
      </c>
      <c r="E50" s="283" t="str">
        <f t="shared" si="2"/>
        <v/>
      </c>
      <c r="F50" s="283" t="str">
        <f t="shared" si="3"/>
        <v/>
      </c>
    </row>
    <row r="51" spans="1:6" s="271" customFormat="1" x14ac:dyDescent="0.3">
      <c r="A51" s="281" t="s">
        <v>514</v>
      </c>
      <c r="B51" s="282">
        <f>'Fin -1'!B51+'Fin -2'!B51+'Fin -3'!B51+'Fin -4'!B51</f>
        <v>0</v>
      </c>
      <c r="C51" s="282">
        <f>'Fin -1'!C51+'Fin -2'!C51+'Fin -3'!C51+'Fin -4'!C51</f>
        <v>0</v>
      </c>
      <c r="D51" s="282">
        <f>'Fin -1'!D51+'Fin -2'!D51+'Fin -3'!D51+'Fin -4'!D51</f>
        <v>0</v>
      </c>
      <c r="E51" s="283" t="str">
        <f t="shared" si="2"/>
        <v/>
      </c>
      <c r="F51" s="283" t="str">
        <f t="shared" si="3"/>
        <v/>
      </c>
    </row>
    <row r="52" spans="1:6" s="271" customFormat="1" x14ac:dyDescent="0.3">
      <c r="A52" s="281" t="s">
        <v>515</v>
      </c>
      <c r="B52" s="282">
        <f>'Fin -1'!B52+'Fin -2'!B52+'Fin -3'!B52+'Fin -4'!B52</f>
        <v>0</v>
      </c>
      <c r="C52" s="282">
        <f>'Fin -1'!C52+'Fin -2'!C52+'Fin -3'!C52+'Fin -4'!C52</f>
        <v>0</v>
      </c>
      <c r="D52" s="282">
        <f>'Fin -1'!D52+'Fin -2'!D52+'Fin -3'!D52+'Fin -4'!D52</f>
        <v>0</v>
      </c>
      <c r="E52" s="283" t="str">
        <f t="shared" si="2"/>
        <v/>
      </c>
      <c r="F52" s="283" t="str">
        <f t="shared" si="3"/>
        <v/>
      </c>
    </row>
    <row r="53" spans="1:6" s="271" customFormat="1" x14ac:dyDescent="0.3">
      <c r="A53" s="281" t="s">
        <v>516</v>
      </c>
      <c r="B53" s="282">
        <f>'Fin -1'!B53+'Fin -2'!B53+'Fin -3'!B53+'Fin -4'!B53</f>
        <v>0</v>
      </c>
      <c r="C53" s="282">
        <f>'Fin -1'!C53+'Fin -2'!C53+'Fin -3'!C53+'Fin -4'!C53</f>
        <v>0</v>
      </c>
      <c r="D53" s="282">
        <f>'Fin -1'!D53+'Fin -2'!D53+'Fin -3'!D53+'Fin -4'!D53</f>
        <v>0</v>
      </c>
      <c r="E53" s="283" t="str">
        <f t="shared" si="2"/>
        <v/>
      </c>
      <c r="F53" s="283" t="str">
        <f t="shared" si="3"/>
        <v/>
      </c>
    </row>
    <row r="54" spans="1:6" s="271" customFormat="1" x14ac:dyDescent="0.3">
      <c r="A54" s="297" t="s">
        <v>517</v>
      </c>
      <c r="B54" s="298">
        <f>'Fin -1'!B54+'Fin -2'!B54+'Fin -3'!B54+'Fin -4'!B54</f>
        <v>0</v>
      </c>
      <c r="C54" s="298">
        <f>'Fin -1'!C54+'Fin -2'!C54+'Fin -3'!C54+'Fin -4'!C54</f>
        <v>0</v>
      </c>
      <c r="D54" s="298">
        <f>'Fin -1'!D54+'Fin -2'!D54+'Fin -3'!D54+'Fin -4'!D54</f>
        <v>0</v>
      </c>
      <c r="E54" s="283" t="str">
        <f t="shared" si="2"/>
        <v/>
      </c>
      <c r="F54" s="283" t="str">
        <f t="shared" si="3"/>
        <v/>
      </c>
    </row>
    <row r="55" spans="1:6" s="271" customFormat="1" x14ac:dyDescent="0.3">
      <c r="A55" s="297" t="s">
        <v>518</v>
      </c>
      <c r="B55" s="298">
        <f>'Fin -1'!B55+'Fin -2'!B55+'Fin -3'!B55+'Fin -4'!B55</f>
        <v>0</v>
      </c>
      <c r="C55" s="298">
        <f>'Fin -1'!C55+'Fin -2'!C55+'Fin -3'!C55+'Fin -4'!C55</f>
        <v>0</v>
      </c>
      <c r="D55" s="298">
        <f>'Fin -1'!D55+'Fin -2'!D55+'Fin -3'!D55+'Fin -4'!D55</f>
        <v>0</v>
      </c>
      <c r="E55" s="283" t="str">
        <f t="shared" si="2"/>
        <v/>
      </c>
      <c r="F55" s="283" t="str">
        <f t="shared" si="3"/>
        <v/>
      </c>
    </row>
    <row r="56" spans="1:6" s="271" customFormat="1" x14ac:dyDescent="0.3">
      <c r="A56" s="297" t="s">
        <v>519</v>
      </c>
      <c r="B56" s="298">
        <f>'Fin -1'!B56+'Fin -2'!B56+'Fin -3'!B56+'Fin -4'!B56</f>
        <v>0</v>
      </c>
      <c r="C56" s="298">
        <f>'Fin -1'!C56+'Fin -2'!C56+'Fin -3'!C56+'Fin -4'!C56</f>
        <v>0</v>
      </c>
      <c r="D56" s="298">
        <f>'Fin -1'!D56+'Fin -2'!D56+'Fin -3'!D56+'Fin -4'!D56</f>
        <v>0</v>
      </c>
      <c r="E56" s="283" t="str">
        <f t="shared" si="2"/>
        <v/>
      </c>
      <c r="F56" s="283" t="str">
        <f t="shared" si="3"/>
        <v/>
      </c>
    </row>
    <row r="57" spans="1:6" s="271" customFormat="1" x14ac:dyDescent="0.3">
      <c r="A57" s="297" t="s">
        <v>520</v>
      </c>
      <c r="B57" s="298">
        <f>'Fin -1'!B57+'Fin -2'!B57+'Fin -3'!B57+'Fin -4'!B57</f>
        <v>0</v>
      </c>
      <c r="C57" s="298">
        <f>'Fin -1'!C57+'Fin -2'!C57+'Fin -3'!C57+'Fin -4'!C57</f>
        <v>0</v>
      </c>
      <c r="D57" s="298">
        <f>'Fin -1'!D57+'Fin -2'!D57+'Fin -3'!D57+'Fin -4'!D57</f>
        <v>0</v>
      </c>
      <c r="E57" s="283" t="str">
        <f t="shared" si="2"/>
        <v/>
      </c>
      <c r="F57" s="283" t="str">
        <f t="shared" si="3"/>
        <v/>
      </c>
    </row>
    <row r="58" spans="1:6" s="274" customFormat="1" x14ac:dyDescent="0.3">
      <c r="A58" s="278" t="s">
        <v>521</v>
      </c>
      <c r="B58" s="299"/>
      <c r="C58" s="299"/>
      <c r="D58" s="299"/>
      <c r="E58" s="283" t="str">
        <f t="shared" si="2"/>
        <v/>
      </c>
      <c r="F58" s="283" t="str">
        <f t="shared" si="3"/>
        <v/>
      </c>
    </row>
    <row r="59" spans="1:6" s="271" customFormat="1" ht="15.75" customHeight="1" x14ac:dyDescent="0.3">
      <c r="A59" s="281" t="s">
        <v>522</v>
      </c>
      <c r="B59" s="282">
        <f>'Fin -1'!B59+'Fin -2'!B59+'Fin -3'!B59+'Fin -4'!B59</f>
        <v>0</v>
      </c>
      <c r="C59" s="282">
        <f>'Fin -1'!C59+'Fin -2'!C59+'Fin -3'!C59+'Fin -4'!C59</f>
        <v>0</v>
      </c>
      <c r="D59" s="282">
        <f>'Fin -1'!D59+'Fin -2'!D59+'Fin -3'!D59+'Fin -4'!D59</f>
        <v>0</v>
      </c>
      <c r="E59" s="283" t="str">
        <f t="shared" si="2"/>
        <v/>
      </c>
      <c r="F59" s="283" t="str">
        <f t="shared" si="3"/>
        <v/>
      </c>
    </row>
    <row r="60" spans="1:6" s="271" customFormat="1" x14ac:dyDescent="0.3">
      <c r="A60" s="281" t="s">
        <v>523</v>
      </c>
      <c r="B60" s="282">
        <f>'Fin -1'!B60+'Fin -2'!B60+'Fin -3'!B60+'Fin -4'!B60</f>
        <v>0</v>
      </c>
      <c r="C60" s="282">
        <f>'Fin -1'!C60+'Fin -2'!C60+'Fin -3'!C60+'Fin -4'!C60</f>
        <v>0</v>
      </c>
      <c r="D60" s="282">
        <f>'Fin -1'!D60+'Fin -2'!D60+'Fin -3'!D60+'Fin -4'!D60</f>
        <v>0</v>
      </c>
      <c r="E60" s="283" t="str">
        <f t="shared" si="2"/>
        <v/>
      </c>
      <c r="F60" s="283" t="str">
        <f t="shared" si="3"/>
        <v/>
      </c>
    </row>
    <row r="61" spans="1:6" s="271" customFormat="1" x14ac:dyDescent="0.3">
      <c r="A61" s="285" t="s">
        <v>524</v>
      </c>
      <c r="B61" s="286">
        <f>'Fin -1'!B61+'Fin -2'!B61+'Fin -3'!B61+'Fin -4'!B61</f>
        <v>0</v>
      </c>
      <c r="C61" s="286">
        <f>'Fin -1'!C61+'Fin -2'!C61+'Fin -3'!C61+'Fin -4'!C61</f>
        <v>0</v>
      </c>
      <c r="D61" s="286">
        <f>'Fin -1'!D61+'Fin -2'!D61+'Fin -3'!D61+'Fin -4'!D61</f>
        <v>0</v>
      </c>
      <c r="E61" s="283" t="str">
        <f t="shared" si="2"/>
        <v/>
      </c>
      <c r="F61" s="283" t="str">
        <f t="shared" si="3"/>
        <v/>
      </c>
    </row>
    <row r="62" spans="1:6" s="271" customFormat="1" x14ac:dyDescent="0.3">
      <c r="A62" s="281" t="s">
        <v>525</v>
      </c>
      <c r="B62" s="282">
        <f>'Fin -1'!B62+'Fin -2'!B62+'Fin -3'!B62+'Fin -4'!B62</f>
        <v>0</v>
      </c>
      <c r="C62" s="282">
        <f>'Fin -1'!C62+'Fin -2'!C62+'Fin -3'!C62+'Fin -4'!C62</f>
        <v>0</v>
      </c>
      <c r="D62" s="282">
        <f>'Fin -1'!D62+'Fin -2'!D62+'Fin -3'!D62+'Fin -4'!D62</f>
        <v>0</v>
      </c>
      <c r="E62" s="283" t="str">
        <f t="shared" si="2"/>
        <v/>
      </c>
      <c r="F62" s="283" t="str">
        <f t="shared" si="3"/>
        <v/>
      </c>
    </row>
    <row r="63" spans="1:6" s="271" customFormat="1" x14ac:dyDescent="0.3">
      <c r="A63" s="285" t="s">
        <v>526</v>
      </c>
      <c r="B63" s="286">
        <f>'Fin -1'!B63+'Fin -2'!B63+'Fin -3'!B63+'Fin -4'!B63</f>
        <v>0</v>
      </c>
      <c r="C63" s="286">
        <f>'Fin -1'!C63+'Fin -2'!C63+'Fin -3'!C63+'Fin -4'!C63</f>
        <v>0</v>
      </c>
      <c r="D63" s="286">
        <f>'Fin -1'!D63+'Fin -2'!D63+'Fin -3'!D63+'Fin -4'!D63</f>
        <v>0</v>
      </c>
      <c r="E63" s="283" t="str">
        <f t="shared" si="2"/>
        <v/>
      </c>
      <c r="F63" s="283" t="str">
        <f t="shared" si="3"/>
        <v/>
      </c>
    </row>
    <row r="64" spans="1:6" s="271" customFormat="1" x14ac:dyDescent="0.3">
      <c r="A64" s="285" t="s">
        <v>527</v>
      </c>
      <c r="B64" s="286">
        <f>'Fin -1'!B64+'Fin -2'!B64+'Fin -3'!B64+'Fin -4'!B64</f>
        <v>0</v>
      </c>
      <c r="C64" s="286">
        <f>'Fin -1'!C64+'Fin -2'!C64+'Fin -3'!C64+'Fin -4'!C64</f>
        <v>0</v>
      </c>
      <c r="D64" s="286">
        <f>'Fin -1'!D64+'Fin -2'!D64+'Fin -3'!D64+'Fin -4'!D64</f>
        <v>0</v>
      </c>
      <c r="E64" s="283" t="str">
        <f t="shared" si="2"/>
        <v/>
      </c>
      <c r="F64" s="283" t="str">
        <f t="shared" si="3"/>
        <v/>
      </c>
    </row>
    <row r="65" spans="1:6" s="271" customFormat="1" x14ac:dyDescent="0.3">
      <c r="A65" s="281" t="s">
        <v>528</v>
      </c>
      <c r="B65" s="282">
        <f>'Fin -1'!B65+'Fin -2'!B65+'Fin -3'!B65+'Fin -4'!B65</f>
        <v>0</v>
      </c>
      <c r="C65" s="282">
        <f>'Fin -1'!C65+'Fin -2'!C65+'Fin -3'!C65+'Fin -4'!C65</f>
        <v>0</v>
      </c>
      <c r="D65" s="282">
        <f>'Fin -1'!D65+'Fin -2'!D65+'Fin -3'!D65+'Fin -4'!D65</f>
        <v>0</v>
      </c>
      <c r="E65" s="283" t="str">
        <f t="shared" si="2"/>
        <v/>
      </c>
      <c r="F65" s="283" t="str">
        <f t="shared" si="3"/>
        <v/>
      </c>
    </row>
    <row r="66" spans="1:6" s="271" customFormat="1" x14ac:dyDescent="0.3">
      <c r="A66" s="281" t="s">
        <v>529</v>
      </c>
      <c r="B66" s="282">
        <f>'Fin -1'!B66+'Fin -2'!B66+'Fin -3'!B66+'Fin -4'!B66</f>
        <v>0</v>
      </c>
      <c r="C66" s="282">
        <f>'Fin -1'!C66+'Fin -2'!C66+'Fin -3'!C66+'Fin -4'!C66</f>
        <v>0</v>
      </c>
      <c r="D66" s="282">
        <f>'Fin -1'!D66+'Fin -2'!D66+'Fin -3'!D66+'Fin -4'!D66</f>
        <v>0</v>
      </c>
      <c r="E66" s="283" t="str">
        <f t="shared" si="2"/>
        <v/>
      </c>
      <c r="F66" s="283" t="str">
        <f t="shared" si="3"/>
        <v/>
      </c>
    </row>
    <row r="67" spans="1:6" s="271" customFormat="1" x14ac:dyDescent="0.3">
      <c r="A67" s="281" t="s">
        <v>530</v>
      </c>
      <c r="B67" s="282">
        <f>'Fin -1'!B67+'Fin -2'!B67+'Fin -3'!B67+'Fin -4'!B67</f>
        <v>0</v>
      </c>
      <c r="C67" s="282">
        <f>'Fin -1'!C67+'Fin -2'!C67+'Fin -3'!C67+'Fin -4'!C67</f>
        <v>0</v>
      </c>
      <c r="D67" s="282">
        <f>'Fin -1'!D67+'Fin -2'!D67+'Fin -3'!D67+'Fin -4'!D67</f>
        <v>0</v>
      </c>
      <c r="E67" s="283" t="str">
        <f t="shared" si="2"/>
        <v/>
      </c>
      <c r="F67" s="283" t="str">
        <f t="shared" si="3"/>
        <v/>
      </c>
    </row>
    <row r="68" spans="1:6" s="271" customFormat="1" x14ac:dyDescent="0.3">
      <c r="A68" s="281" t="s">
        <v>531</v>
      </c>
      <c r="B68" s="282">
        <f>'Fin -1'!B68+'Fin -2'!B68+'Fin -3'!B68+'Fin -4'!B68</f>
        <v>0</v>
      </c>
      <c r="C68" s="282">
        <f>'Fin -1'!C68+'Fin -2'!C68+'Fin -3'!C68+'Fin -4'!C68</f>
        <v>0</v>
      </c>
      <c r="D68" s="282">
        <f>'Fin -1'!D68+'Fin -2'!D68+'Fin -3'!D68+'Fin -4'!D68</f>
        <v>0</v>
      </c>
      <c r="E68" s="283" t="str">
        <f t="shared" si="2"/>
        <v/>
      </c>
      <c r="F68" s="283" t="str">
        <f t="shared" si="3"/>
        <v/>
      </c>
    </row>
    <row r="69" spans="1:6" s="271" customFormat="1" x14ac:dyDescent="0.3">
      <c r="A69" s="281" t="s">
        <v>532</v>
      </c>
      <c r="B69" s="282">
        <f>'Fin -1'!B69+'Fin -2'!B69+'Fin -3'!B69+'Fin -4'!B69</f>
        <v>0</v>
      </c>
      <c r="C69" s="282">
        <f>'Fin -1'!C69+'Fin -2'!C69+'Fin -3'!C69+'Fin -4'!C69</f>
        <v>0</v>
      </c>
      <c r="D69" s="282">
        <f>'Fin -1'!D69+'Fin -2'!D69+'Fin -3'!D69+'Fin -4'!D69</f>
        <v>0</v>
      </c>
      <c r="E69" s="283" t="str">
        <f t="shared" si="2"/>
        <v/>
      </c>
      <c r="F69" s="283" t="str">
        <f t="shared" si="3"/>
        <v/>
      </c>
    </row>
    <row r="70" spans="1:6" s="271" customFormat="1" x14ac:dyDescent="0.3">
      <c r="A70" s="281" t="s">
        <v>533</v>
      </c>
      <c r="B70" s="282">
        <f>'Fin -1'!B70+'Fin -2'!B70+'Fin -3'!B70+'Fin -4'!B70</f>
        <v>0</v>
      </c>
      <c r="C70" s="282">
        <f>'Fin -1'!C70+'Fin -2'!C70+'Fin -3'!C70+'Fin -4'!C70</f>
        <v>0</v>
      </c>
      <c r="D70" s="282">
        <f>'Fin -1'!D70+'Fin -2'!D70+'Fin -3'!D70+'Fin -4'!D70</f>
        <v>0</v>
      </c>
      <c r="E70" s="283" t="str">
        <f t="shared" si="2"/>
        <v/>
      </c>
      <c r="F70" s="283" t="str">
        <f t="shared" si="3"/>
        <v/>
      </c>
    </row>
    <row r="71" spans="1:6" s="271" customFormat="1" x14ac:dyDescent="0.3">
      <c r="A71" s="281" t="s">
        <v>534</v>
      </c>
      <c r="B71" s="282">
        <f>'Fin -1'!B71+'Fin -2'!B71+'Fin -3'!B71+'Fin -4'!B71</f>
        <v>0</v>
      </c>
      <c r="C71" s="282">
        <f>'Fin -1'!C71+'Fin -2'!C71+'Fin -3'!C71+'Fin -4'!C71</f>
        <v>0</v>
      </c>
      <c r="D71" s="282">
        <f>'Fin -1'!D71+'Fin -2'!D71+'Fin -3'!D71+'Fin -4'!D71</f>
        <v>0</v>
      </c>
      <c r="E71" s="283" t="str">
        <f t="shared" si="2"/>
        <v/>
      </c>
      <c r="F71" s="283" t="str">
        <f t="shared" si="3"/>
        <v/>
      </c>
    </row>
    <row r="72" spans="1:6" s="271" customFormat="1" x14ac:dyDescent="0.3">
      <c r="A72" s="285" t="s">
        <v>535</v>
      </c>
      <c r="B72" s="286">
        <f>'Fin -1'!B72+'Fin -2'!B72+'Fin -3'!B72+'Fin -4'!B72</f>
        <v>0</v>
      </c>
      <c r="C72" s="286">
        <f>'Fin -1'!C72+'Fin -2'!C72+'Fin -3'!C72+'Fin -4'!C72</f>
        <v>0</v>
      </c>
      <c r="D72" s="286">
        <f>'Fin -1'!D72+'Fin -2'!D72+'Fin -3'!D72+'Fin -4'!D72</f>
        <v>0</v>
      </c>
      <c r="E72" s="283" t="str">
        <f t="shared" si="2"/>
        <v/>
      </c>
      <c r="F72" s="283" t="str">
        <f t="shared" si="3"/>
        <v/>
      </c>
    </row>
    <row r="73" spans="1:6" s="271" customFormat="1" x14ac:dyDescent="0.3">
      <c r="A73" s="281" t="s">
        <v>536</v>
      </c>
      <c r="B73" s="282">
        <f>'Fin -1'!B73+'Fin -2'!B73+'Fin -3'!B73+'Fin -4'!B73</f>
        <v>0</v>
      </c>
      <c r="C73" s="282">
        <f>'Fin -1'!C73+'Fin -2'!C73+'Fin -3'!C73+'Fin -4'!C73</f>
        <v>0</v>
      </c>
      <c r="D73" s="282">
        <f>'Fin -1'!D73+'Fin -2'!D73+'Fin -3'!D73+'Fin -4'!D73</f>
        <v>0</v>
      </c>
      <c r="E73" s="283" t="str">
        <f t="shared" si="2"/>
        <v/>
      </c>
      <c r="F73" s="283" t="str">
        <f t="shared" si="3"/>
        <v/>
      </c>
    </row>
    <row r="74" spans="1:6" s="271" customFormat="1" x14ac:dyDescent="0.3">
      <c r="A74" s="281" t="s">
        <v>537</v>
      </c>
      <c r="B74" s="282">
        <f>'Fin -1'!B74+'Fin -2'!B74+'Fin -3'!B74+'Fin -4'!B74</f>
        <v>0</v>
      </c>
      <c r="C74" s="282">
        <f>'Fin -1'!C74+'Fin -2'!C74+'Fin -3'!C74+'Fin -4'!C74</f>
        <v>0</v>
      </c>
      <c r="D74" s="282">
        <f>'Fin -1'!D74+'Fin -2'!D74+'Fin -3'!D74+'Fin -4'!D74</f>
        <v>0</v>
      </c>
      <c r="E74" s="283" t="str">
        <f t="shared" si="2"/>
        <v/>
      </c>
      <c r="F74" s="283" t="str">
        <f t="shared" si="3"/>
        <v/>
      </c>
    </row>
    <row r="75" spans="1:6" s="271" customFormat="1" x14ac:dyDescent="0.3">
      <c r="A75" s="281" t="s">
        <v>538</v>
      </c>
      <c r="B75" s="282">
        <f>'Fin -1'!B75+'Fin -2'!B75+'Fin -3'!B75+'Fin -4'!B75</f>
        <v>0</v>
      </c>
      <c r="C75" s="282">
        <f>'Fin -1'!C75+'Fin -2'!C75+'Fin -3'!C75+'Fin -4'!C75</f>
        <v>0</v>
      </c>
      <c r="D75" s="282">
        <f>'Fin -1'!D75+'Fin -2'!D75+'Fin -3'!D75+'Fin -4'!D75</f>
        <v>0</v>
      </c>
      <c r="E75" s="283" t="str">
        <f t="shared" si="2"/>
        <v/>
      </c>
      <c r="F75" s="283" t="str">
        <f t="shared" si="3"/>
        <v/>
      </c>
    </row>
    <row r="76" spans="1:6" s="271" customFormat="1" x14ac:dyDescent="0.3">
      <c r="A76" s="285" t="s">
        <v>539</v>
      </c>
      <c r="B76" s="286">
        <f>'Fin -1'!B76+'Fin -2'!B76+'Fin -3'!B76+'Fin -4'!B76</f>
        <v>0</v>
      </c>
      <c r="C76" s="286">
        <f>'Fin -1'!C76+'Fin -2'!C76+'Fin -3'!C76+'Fin -4'!C76</f>
        <v>0</v>
      </c>
      <c r="D76" s="286">
        <f>'Fin -1'!D76+'Fin -2'!D76+'Fin -3'!D76+'Fin -4'!D76</f>
        <v>0</v>
      </c>
      <c r="E76" s="283" t="str">
        <f t="shared" si="2"/>
        <v/>
      </c>
      <c r="F76" s="283" t="str">
        <f t="shared" si="3"/>
        <v/>
      </c>
    </row>
    <row r="77" spans="1:6" s="271" customFormat="1" x14ac:dyDescent="0.3">
      <c r="A77" s="300" t="s">
        <v>540</v>
      </c>
      <c r="B77" s="301">
        <f>'Fin -1'!B77+'Fin -2'!B77+'Fin -3'!B77+'Fin -4'!B77</f>
        <v>0</v>
      </c>
      <c r="C77" s="301">
        <f>'Fin -1'!C77+'Fin -2'!C77+'Fin -3'!C77+'Fin -4'!C77</f>
        <v>0</v>
      </c>
      <c r="D77" s="301">
        <f>'Fin -1'!D77+'Fin -2'!D77+'Fin -3'!D77+'Fin -4'!D77</f>
        <v>0</v>
      </c>
    </row>
    <row r="79" spans="1:6" s="271" customFormat="1" x14ac:dyDescent="0.3">
      <c r="A79" s="302" t="s">
        <v>541</v>
      </c>
      <c r="B79" s="303">
        <f>B30</f>
        <v>45382</v>
      </c>
      <c r="C79" s="303">
        <f>C30</f>
        <v>45747</v>
      </c>
      <c r="D79" s="303">
        <f>D30</f>
        <v>46112</v>
      </c>
    </row>
    <row r="80" spans="1:6" s="271" customFormat="1" x14ac:dyDescent="0.3">
      <c r="A80" s="304" t="s">
        <v>542</v>
      </c>
      <c r="B80" s="305">
        <f>B7</f>
        <v>0</v>
      </c>
      <c r="C80" s="305">
        <f>C7</f>
        <v>0</v>
      </c>
      <c r="D80" s="305">
        <f>D7</f>
        <v>0</v>
      </c>
    </row>
    <row r="81" spans="1:4" s="271" customFormat="1" x14ac:dyDescent="0.3">
      <c r="A81" s="304" t="s">
        <v>482</v>
      </c>
      <c r="B81" s="305">
        <f>B17</f>
        <v>0</v>
      </c>
      <c r="C81" s="305">
        <f>C17</f>
        <v>0</v>
      </c>
      <c r="D81" s="305">
        <f>D17</f>
        <v>0</v>
      </c>
    </row>
    <row r="82" spans="1:4" s="271" customFormat="1" x14ac:dyDescent="0.3">
      <c r="A82" s="304" t="s">
        <v>543</v>
      </c>
      <c r="B82" s="306">
        <f>IFERROR(B81/B80,0)</f>
        <v>0</v>
      </c>
      <c r="C82" s="306">
        <f>IFERROR(C81/C80,0)</f>
        <v>0</v>
      </c>
      <c r="D82" s="306">
        <f>IFERROR(D81/D80,0)</f>
        <v>0</v>
      </c>
    </row>
    <row r="83" spans="1:4" s="271" customFormat="1" x14ac:dyDescent="0.3">
      <c r="A83" s="304" t="s">
        <v>544</v>
      </c>
      <c r="B83" s="305">
        <f>SUM(B18:B20)</f>
        <v>0</v>
      </c>
      <c r="C83" s="305">
        <f>SUM(C18:C20)</f>
        <v>0</v>
      </c>
      <c r="D83" s="305">
        <f>SUM(D18:D20)</f>
        <v>0</v>
      </c>
    </row>
    <row r="84" spans="1:4" s="271" customFormat="1" x14ac:dyDescent="0.3">
      <c r="A84" s="304" t="s">
        <v>299</v>
      </c>
      <c r="B84" s="305">
        <f>B21</f>
        <v>0</v>
      </c>
      <c r="C84" s="305">
        <f>C21</f>
        <v>0</v>
      </c>
      <c r="D84" s="305">
        <f>D21</f>
        <v>0</v>
      </c>
    </row>
    <row r="85" spans="1:4" s="271" customFormat="1" x14ac:dyDescent="0.3">
      <c r="A85" s="304" t="s">
        <v>545</v>
      </c>
      <c r="B85" s="305">
        <f>B23</f>
        <v>0</v>
      </c>
      <c r="C85" s="305">
        <f>C23</f>
        <v>0</v>
      </c>
      <c r="D85" s="305">
        <f>D23</f>
        <v>0</v>
      </c>
    </row>
    <row r="86" spans="1:4" s="271" customFormat="1" x14ac:dyDescent="0.3">
      <c r="A86" s="304" t="s">
        <v>546</v>
      </c>
      <c r="B86" s="305">
        <f>B9</f>
        <v>0</v>
      </c>
      <c r="C86" s="305">
        <f>C9</f>
        <v>0</v>
      </c>
      <c r="D86" s="305">
        <f>D9</f>
        <v>0</v>
      </c>
    </row>
    <row r="87" spans="1:4" s="271" customFormat="1" x14ac:dyDescent="0.3">
      <c r="A87" s="304" t="s">
        <v>547</v>
      </c>
      <c r="B87" s="305">
        <f>B24</f>
        <v>0</v>
      </c>
      <c r="C87" s="305">
        <f>C24</f>
        <v>0</v>
      </c>
      <c r="D87" s="305">
        <f>D24</f>
        <v>0</v>
      </c>
    </row>
    <row r="88" spans="1:4" s="271" customFormat="1" x14ac:dyDescent="0.3">
      <c r="A88" s="304" t="s">
        <v>491</v>
      </c>
      <c r="B88" s="305">
        <f>B27</f>
        <v>0</v>
      </c>
      <c r="C88" s="305">
        <f>C27</f>
        <v>0</v>
      </c>
      <c r="D88" s="305">
        <f>D27</f>
        <v>0</v>
      </c>
    </row>
    <row r="89" spans="1:4" s="271" customFormat="1" x14ac:dyDescent="0.3">
      <c r="A89" s="304" t="s">
        <v>524</v>
      </c>
      <c r="B89" s="305">
        <f>B61</f>
        <v>0</v>
      </c>
      <c r="C89" s="305">
        <f>C61</f>
        <v>0</v>
      </c>
      <c r="D89" s="305">
        <f>D61</f>
        <v>0</v>
      </c>
    </row>
    <row r="90" spans="1:4" s="271" customFormat="1" x14ac:dyDescent="0.3">
      <c r="A90" s="304" t="s">
        <v>548</v>
      </c>
      <c r="B90" s="305">
        <f>B34</f>
        <v>0</v>
      </c>
      <c r="C90" s="305">
        <f>C34</f>
        <v>0</v>
      </c>
      <c r="D90" s="305">
        <f>D34</f>
        <v>0</v>
      </c>
    </row>
    <row r="91" spans="1:4" s="271" customFormat="1" x14ac:dyDescent="0.3">
      <c r="A91" s="304" t="s">
        <v>549</v>
      </c>
      <c r="B91" s="305">
        <f>B38</f>
        <v>0</v>
      </c>
      <c r="C91" s="305">
        <f>C38</f>
        <v>0</v>
      </c>
      <c r="D91" s="305">
        <f>D38</f>
        <v>0</v>
      </c>
    </row>
    <row r="92" spans="1:4" s="271" customFormat="1" x14ac:dyDescent="0.3">
      <c r="A92" s="304" t="s">
        <v>550</v>
      </c>
      <c r="B92" s="305">
        <f>B74</f>
        <v>0</v>
      </c>
      <c r="C92" s="305">
        <f>C74</f>
        <v>0</v>
      </c>
      <c r="D92" s="305">
        <f>D74</f>
        <v>0</v>
      </c>
    </row>
    <row r="93" spans="1:4" s="271" customFormat="1" x14ac:dyDescent="0.3">
      <c r="A93" s="304" t="s">
        <v>551</v>
      </c>
      <c r="B93" s="305">
        <f>B52</f>
        <v>0</v>
      </c>
      <c r="C93" s="305">
        <f>C52</f>
        <v>0</v>
      </c>
      <c r="D93" s="305">
        <f>D52</f>
        <v>0</v>
      </c>
    </row>
    <row r="94" spans="1:4" s="271" customFormat="1" x14ac:dyDescent="0.3">
      <c r="A94" s="307" t="s">
        <v>552</v>
      </c>
      <c r="B94" s="305">
        <f>B65</f>
        <v>0</v>
      </c>
      <c r="C94" s="305">
        <f>C65</f>
        <v>0</v>
      </c>
      <c r="D94" s="305">
        <f>D65</f>
        <v>0</v>
      </c>
    </row>
    <row r="95" spans="1:4" s="271" customFormat="1" x14ac:dyDescent="0.3">
      <c r="A95" s="304" t="s">
        <v>553</v>
      </c>
      <c r="B95" s="305">
        <f>B45+B48</f>
        <v>0</v>
      </c>
      <c r="C95" s="305">
        <f>C45+C48</f>
        <v>0</v>
      </c>
      <c r="D95" s="305">
        <f>D45+D48</f>
        <v>0</v>
      </c>
    </row>
    <row r="96" spans="1:4" s="271" customFormat="1" x14ac:dyDescent="0.3">
      <c r="A96" s="304" t="s">
        <v>554</v>
      </c>
      <c r="B96" s="308" t="str">
        <f>ROUND(IFERROR(B95/B91,0),2)&amp;" times"</f>
        <v>0 times</v>
      </c>
      <c r="C96" s="308" t="str">
        <f>ROUND(IFERROR(C95/C91,0),2)&amp;" times"</f>
        <v>0 times</v>
      </c>
      <c r="D96" s="308" t="str">
        <f>ROUND(IFERROR(D95/D91,0),2)&amp;" times"</f>
        <v>0 times</v>
      </c>
    </row>
    <row r="97" spans="1:4" s="271" customFormat="1" x14ac:dyDescent="0.3">
      <c r="A97" s="304" t="s">
        <v>555</v>
      </c>
      <c r="B97" s="308">
        <f>IFERROR(ROUNDUP(B81/B83,2)&amp;" Times",0)</f>
        <v>0</v>
      </c>
      <c r="C97" s="308">
        <f>IFERROR(ROUNDUP(C81/C83,2)&amp;" Times",0)</f>
        <v>0</v>
      </c>
      <c r="D97" s="308">
        <f>IFERROR(ROUNDUP(D81/D83,2)&amp;" Times",0)</f>
        <v>0</v>
      </c>
    </row>
    <row r="1048560" hidden="1" x14ac:dyDescent="0.3"/>
  </sheetData>
  <mergeCells count="4">
    <mergeCell ref="A1:F1"/>
    <mergeCell ref="B2:F2"/>
    <mergeCell ref="E3:F3"/>
    <mergeCell ref="E30:F30"/>
  </mergeCells>
  <pageMargins left="0.2" right="0.2" top="0.2" bottom="0.2" header="0.511811023622047" footer="0.1"/>
  <pageSetup scale="78" orientation="portrait" horizontalDpi="300" verticalDpi="300"/>
  <headerFooter>
    <oddFooter>&amp;C&amp;F</oddFooter>
  </headerFooter>
  <rowBreaks count="1" manualBreakCount="1">
    <brk id="57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C55A11"/>
  </sheetPr>
  <dimension ref="A1:AMJ1048560"/>
  <sheetViews>
    <sheetView zoomScaleNormal="100" workbookViewId="0">
      <pane ySplit="3" topLeftCell="A4" activePane="bottomLeft" state="frozen"/>
      <selection pane="bottomLeft" activeCell="B4" sqref="B4"/>
    </sheetView>
  </sheetViews>
  <sheetFormatPr defaultColWidth="9.109375" defaultRowHeight="14.4" x14ac:dyDescent="0.3"/>
  <cols>
    <col min="1" max="1" width="56.109375" style="271" customWidth="1"/>
    <col min="2" max="2" width="18" style="272" customWidth="1"/>
    <col min="3" max="4" width="15.88671875" style="272" customWidth="1"/>
    <col min="5" max="5" width="12.109375" style="271" customWidth="1"/>
    <col min="6" max="6" width="13.44140625" style="271" customWidth="1"/>
    <col min="7" max="7" width="24.33203125" style="271" customWidth="1"/>
    <col min="8" max="8" width="15.33203125" style="271" customWidth="1"/>
    <col min="9" max="1024" width="9.109375" style="271"/>
    <col min="1025" max="16384" width="9.109375" style="273"/>
  </cols>
  <sheetData>
    <row r="1" spans="1:11" s="274" customFormat="1" ht="18.75" customHeight="1" x14ac:dyDescent="0.3">
      <c r="A1" s="408" t="s">
        <v>466</v>
      </c>
      <c r="B1" s="408"/>
      <c r="C1" s="408"/>
      <c r="D1" s="408"/>
      <c r="E1" s="408"/>
      <c r="F1" s="408"/>
      <c r="G1" s="271"/>
      <c r="H1" s="271"/>
      <c r="I1" s="271"/>
      <c r="J1" s="271"/>
      <c r="K1" s="271"/>
    </row>
    <row r="2" spans="1:11" ht="18.75" customHeight="1" x14ac:dyDescent="0.3">
      <c r="A2" s="275" t="s">
        <v>467</v>
      </c>
      <c r="B2" s="412"/>
      <c r="C2" s="412"/>
      <c r="D2" s="412"/>
      <c r="E2" s="412"/>
      <c r="F2" s="412"/>
    </row>
    <row r="3" spans="1:11" ht="15" customHeight="1" x14ac:dyDescent="0.3">
      <c r="A3" s="276" t="s">
        <v>398</v>
      </c>
      <c r="B3" s="309" t="s">
        <v>556</v>
      </c>
      <c r="C3" s="309" t="s">
        <v>556</v>
      </c>
      <c r="D3" s="309" t="s">
        <v>556</v>
      </c>
      <c r="E3" s="410" t="s">
        <v>469</v>
      </c>
      <c r="F3" s="410"/>
      <c r="G3" s="413" t="s">
        <v>557</v>
      </c>
      <c r="H3" s="413"/>
      <c r="I3" s="413"/>
      <c r="J3" s="413"/>
      <c r="K3" s="413"/>
    </row>
    <row r="4" spans="1:11" ht="15" customHeight="1" x14ac:dyDescent="0.3">
      <c r="A4" s="278" t="s">
        <v>470</v>
      </c>
      <c r="B4" s="310">
        <v>45382</v>
      </c>
      <c r="C4" s="310">
        <v>45747</v>
      </c>
      <c r="D4" s="310">
        <v>46112</v>
      </c>
      <c r="E4" s="280">
        <f>C4</f>
        <v>45747</v>
      </c>
      <c r="F4" s="280">
        <f>D4</f>
        <v>46112</v>
      </c>
      <c r="G4" s="414" t="s">
        <v>558</v>
      </c>
      <c r="H4" s="414"/>
      <c r="I4" s="414"/>
      <c r="J4" s="414"/>
      <c r="K4" s="414"/>
    </row>
    <row r="5" spans="1:11" x14ac:dyDescent="0.3">
      <c r="A5" s="281" t="s">
        <v>471</v>
      </c>
      <c r="B5" s="311"/>
      <c r="C5" s="311"/>
      <c r="D5" s="311"/>
      <c r="E5" s="283" t="str">
        <f t="shared" ref="E5:E28" si="0">IF(B5=0,"",(C5-B5)/B5)</f>
        <v/>
      </c>
      <c r="F5" s="283" t="str">
        <f t="shared" ref="F5:F28" si="1">IF(C5=0,"",(D5-C5)/C5)</f>
        <v/>
      </c>
      <c r="G5" s="414"/>
      <c r="H5" s="414"/>
      <c r="I5" s="414"/>
      <c r="J5" s="414"/>
      <c r="K5" s="414"/>
    </row>
    <row r="6" spans="1:11" ht="56.25" customHeight="1" x14ac:dyDescent="0.3">
      <c r="A6" s="284" t="s">
        <v>472</v>
      </c>
      <c r="B6" s="311"/>
      <c r="C6" s="311"/>
      <c r="D6" s="311"/>
      <c r="E6" s="283" t="str">
        <f t="shared" si="0"/>
        <v/>
      </c>
      <c r="F6" s="283" t="str">
        <f t="shared" si="1"/>
        <v/>
      </c>
      <c r="G6" s="414"/>
      <c r="H6" s="414"/>
      <c r="I6" s="414"/>
      <c r="J6" s="414"/>
      <c r="K6" s="414"/>
    </row>
    <row r="7" spans="1:11" x14ac:dyDescent="0.3">
      <c r="A7" s="285" t="s">
        <v>473</v>
      </c>
      <c r="B7" s="286">
        <f>B5+B6</f>
        <v>0</v>
      </c>
      <c r="C7" s="286">
        <f>C5+C6</f>
        <v>0</v>
      </c>
      <c r="D7" s="286">
        <f>D5+D6</f>
        <v>0</v>
      </c>
      <c r="E7" s="283" t="str">
        <f t="shared" si="0"/>
        <v/>
      </c>
      <c r="F7" s="283" t="str">
        <f t="shared" si="1"/>
        <v/>
      </c>
      <c r="G7" s="415"/>
      <c r="H7" s="415"/>
      <c r="I7" s="415"/>
      <c r="J7" s="415"/>
      <c r="K7" s="415"/>
    </row>
    <row r="8" spans="1:11" x14ac:dyDescent="0.3">
      <c r="A8" s="281" t="s">
        <v>474</v>
      </c>
      <c r="B8" s="311"/>
      <c r="C8" s="311"/>
      <c r="D8" s="311">
        <v>0</v>
      </c>
      <c r="E8" s="283" t="str">
        <f t="shared" si="0"/>
        <v/>
      </c>
      <c r="F8" s="283" t="str">
        <f t="shared" si="1"/>
        <v/>
      </c>
      <c r="G8" s="416" t="s">
        <v>559</v>
      </c>
      <c r="H8" s="416"/>
      <c r="I8" s="416"/>
      <c r="J8" s="416"/>
      <c r="K8" s="416"/>
    </row>
    <row r="9" spans="1:11" x14ac:dyDescent="0.3">
      <c r="A9" s="285" t="s">
        <v>475</v>
      </c>
      <c r="B9" s="286">
        <f>SUM(B8:B8)</f>
        <v>0</v>
      </c>
      <c r="C9" s="286">
        <f>SUM(C8:C8)</f>
        <v>0</v>
      </c>
      <c r="D9" s="286">
        <f>SUM(D8:D8)</f>
        <v>0</v>
      </c>
      <c r="E9" s="283" t="str">
        <f t="shared" si="0"/>
        <v/>
      </c>
      <c r="F9" s="283" t="str">
        <f t="shared" si="1"/>
        <v/>
      </c>
      <c r="G9" s="416"/>
      <c r="H9" s="416"/>
      <c r="I9" s="416"/>
      <c r="J9" s="416"/>
      <c r="K9" s="416"/>
    </row>
    <row r="10" spans="1:11" x14ac:dyDescent="0.3">
      <c r="A10" s="285" t="s">
        <v>476</v>
      </c>
      <c r="B10" s="286">
        <f>B7+B9</f>
        <v>0</v>
      </c>
      <c r="C10" s="286">
        <f>C7+C9</f>
        <v>0</v>
      </c>
      <c r="D10" s="286">
        <f>D7+D9</f>
        <v>0</v>
      </c>
      <c r="E10" s="283" t="str">
        <f t="shared" si="0"/>
        <v/>
      </c>
      <c r="F10" s="283" t="str">
        <f t="shared" si="1"/>
        <v/>
      </c>
      <c r="G10" s="416"/>
      <c r="H10" s="416"/>
      <c r="I10" s="416"/>
      <c r="J10" s="416"/>
      <c r="K10" s="416"/>
    </row>
    <row r="11" spans="1:11" s="288" customFormat="1" x14ac:dyDescent="0.3">
      <c r="A11" s="287" t="s">
        <v>355</v>
      </c>
      <c r="B11" s="311"/>
      <c r="C11" s="311"/>
      <c r="D11" s="311"/>
      <c r="E11" s="283" t="str">
        <f t="shared" si="0"/>
        <v/>
      </c>
      <c r="F11" s="283" t="str">
        <f t="shared" si="1"/>
        <v/>
      </c>
      <c r="G11" s="415"/>
      <c r="H11" s="415"/>
      <c r="I11" s="415"/>
      <c r="J11" s="415"/>
      <c r="K11" s="415"/>
    </row>
    <row r="12" spans="1:11" x14ac:dyDescent="0.3">
      <c r="A12" s="281" t="s">
        <v>477</v>
      </c>
      <c r="B12" s="311"/>
      <c r="C12" s="311"/>
      <c r="D12" s="311"/>
      <c r="E12" s="283" t="str">
        <f t="shared" si="0"/>
        <v/>
      </c>
      <c r="F12" s="283" t="str">
        <f t="shared" si="1"/>
        <v/>
      </c>
      <c r="G12" s="417" t="s">
        <v>560</v>
      </c>
      <c r="H12" s="417"/>
      <c r="I12" s="417"/>
      <c r="J12" s="417"/>
      <c r="K12" s="417"/>
    </row>
    <row r="13" spans="1:11" x14ac:dyDescent="0.3">
      <c r="A13" s="281" t="s">
        <v>478</v>
      </c>
      <c r="B13" s="311"/>
      <c r="C13" s="311"/>
      <c r="D13" s="311"/>
      <c r="E13" s="283" t="str">
        <f t="shared" si="0"/>
        <v/>
      </c>
      <c r="F13" s="283" t="str">
        <f t="shared" si="1"/>
        <v/>
      </c>
      <c r="G13" s="417"/>
      <c r="H13" s="417"/>
      <c r="I13" s="417"/>
      <c r="J13" s="417"/>
      <c r="K13" s="417"/>
    </row>
    <row r="14" spans="1:11" x14ac:dyDescent="0.3">
      <c r="A14" s="281" t="s">
        <v>479</v>
      </c>
      <c r="B14" s="311"/>
      <c r="C14" s="311"/>
      <c r="D14" s="311"/>
      <c r="E14" s="283" t="str">
        <f t="shared" si="0"/>
        <v/>
      </c>
      <c r="F14" s="283" t="str">
        <f t="shared" si="1"/>
        <v/>
      </c>
      <c r="G14" s="417"/>
      <c r="H14" s="417"/>
      <c r="I14" s="417"/>
      <c r="J14" s="417"/>
      <c r="K14" s="417"/>
    </row>
    <row r="15" spans="1:11" x14ac:dyDescent="0.3">
      <c r="A15" s="281" t="s">
        <v>480</v>
      </c>
      <c r="B15" s="311"/>
      <c r="C15" s="311"/>
      <c r="D15" s="311"/>
      <c r="E15" s="283" t="str">
        <f t="shared" si="0"/>
        <v/>
      </c>
      <c r="F15" s="283" t="str">
        <f t="shared" si="1"/>
        <v/>
      </c>
      <c r="G15" s="417"/>
      <c r="H15" s="417"/>
      <c r="I15" s="417"/>
      <c r="J15" s="417"/>
      <c r="K15" s="417"/>
    </row>
    <row r="16" spans="1:11" x14ac:dyDescent="0.3">
      <c r="A16" s="281" t="s">
        <v>481</v>
      </c>
      <c r="B16" s="311"/>
      <c r="C16" s="311"/>
      <c r="D16" s="311">
        <v>0</v>
      </c>
      <c r="E16" s="283" t="str">
        <f t="shared" si="0"/>
        <v/>
      </c>
      <c r="F16" s="283" t="str">
        <f t="shared" si="1"/>
        <v/>
      </c>
      <c r="G16" s="417"/>
      <c r="H16" s="417"/>
      <c r="I16" s="417"/>
      <c r="J16" s="417"/>
      <c r="K16" s="417"/>
    </row>
    <row r="17" spans="1:11" x14ac:dyDescent="0.3">
      <c r="A17" s="285" t="s">
        <v>482</v>
      </c>
      <c r="B17" s="286">
        <f>B7-SUM(B11:B16)</f>
        <v>0</v>
      </c>
      <c r="C17" s="286">
        <f>C7-SUM(C11:C16)</f>
        <v>0</v>
      </c>
      <c r="D17" s="286">
        <f>D7-SUM(D11:D16)</f>
        <v>0</v>
      </c>
      <c r="E17" s="283" t="str">
        <f t="shared" si="0"/>
        <v/>
      </c>
      <c r="F17" s="283" t="str">
        <f t="shared" si="1"/>
        <v/>
      </c>
      <c r="G17" s="415"/>
      <c r="H17" s="415"/>
      <c r="I17" s="415"/>
      <c r="J17" s="415"/>
      <c r="K17" s="415"/>
    </row>
    <row r="18" spans="1:11" x14ac:dyDescent="0.3">
      <c r="A18" s="281" t="s">
        <v>483</v>
      </c>
      <c r="B18" s="311"/>
      <c r="C18" s="311"/>
      <c r="D18" s="311">
        <v>0</v>
      </c>
      <c r="E18" s="283" t="str">
        <f t="shared" si="0"/>
        <v/>
      </c>
      <c r="F18" s="283" t="str">
        <f t="shared" si="1"/>
        <v/>
      </c>
      <c r="G18" s="416" t="s">
        <v>561</v>
      </c>
      <c r="H18" s="416"/>
      <c r="I18" s="416"/>
      <c r="J18" s="416"/>
      <c r="K18" s="416"/>
    </row>
    <row r="19" spans="1:11" x14ac:dyDescent="0.3">
      <c r="A19" s="281" t="s">
        <v>484</v>
      </c>
      <c r="B19" s="311"/>
      <c r="C19" s="311"/>
      <c r="D19" s="311">
        <v>0</v>
      </c>
      <c r="E19" s="283" t="str">
        <f t="shared" si="0"/>
        <v/>
      </c>
      <c r="F19" s="283" t="str">
        <f t="shared" si="1"/>
        <v/>
      </c>
      <c r="G19" s="416"/>
      <c r="H19" s="416"/>
      <c r="I19" s="416"/>
      <c r="J19" s="416"/>
      <c r="K19" s="416"/>
    </row>
    <row r="20" spans="1:11" x14ac:dyDescent="0.3">
      <c r="A20" s="281" t="s">
        <v>485</v>
      </c>
      <c r="B20" s="311"/>
      <c r="C20" s="311"/>
      <c r="D20" s="311">
        <v>0</v>
      </c>
      <c r="E20" s="283" t="str">
        <f t="shared" si="0"/>
        <v/>
      </c>
      <c r="F20" s="283" t="str">
        <f t="shared" si="1"/>
        <v/>
      </c>
      <c r="G20" s="416"/>
      <c r="H20" s="416"/>
      <c r="I20" s="416"/>
      <c r="J20" s="416"/>
      <c r="K20" s="416"/>
    </row>
    <row r="21" spans="1:11" x14ac:dyDescent="0.3">
      <c r="A21" s="281" t="s">
        <v>299</v>
      </c>
      <c r="B21" s="311"/>
      <c r="C21" s="311"/>
      <c r="D21" s="311"/>
      <c r="E21" s="283" t="str">
        <f t="shared" si="0"/>
        <v/>
      </c>
      <c r="F21" s="283" t="str">
        <f t="shared" si="1"/>
        <v/>
      </c>
      <c r="G21" s="312"/>
      <c r="H21" s="313"/>
      <c r="I21" s="313"/>
      <c r="J21" s="313"/>
      <c r="K21" s="314"/>
    </row>
    <row r="22" spans="1:11" x14ac:dyDescent="0.3">
      <c r="A22" s="281" t="s">
        <v>486</v>
      </c>
      <c r="B22" s="311"/>
      <c r="C22" s="311"/>
      <c r="D22" s="311">
        <v>0</v>
      </c>
      <c r="E22" s="283" t="str">
        <f t="shared" si="0"/>
        <v/>
      </c>
      <c r="F22" s="283" t="str">
        <f t="shared" si="1"/>
        <v/>
      </c>
      <c r="G22" s="315"/>
      <c r="H22" s="316"/>
      <c r="I22" s="316"/>
      <c r="J22" s="316"/>
      <c r="K22" s="317"/>
    </row>
    <row r="23" spans="1:11" x14ac:dyDescent="0.3">
      <c r="A23" s="285" t="s">
        <v>487</v>
      </c>
      <c r="B23" s="286">
        <f>B17-SUM(B18:B22)</f>
        <v>0</v>
      </c>
      <c r="C23" s="286">
        <f>C17-SUM(C18:C22)</f>
        <v>0</v>
      </c>
      <c r="D23" s="286">
        <f>D17-SUM(D18:D22)</f>
        <v>0</v>
      </c>
      <c r="E23" s="283" t="str">
        <f t="shared" si="0"/>
        <v/>
      </c>
      <c r="F23" s="283" t="str">
        <f t="shared" si="1"/>
        <v/>
      </c>
      <c r="G23" s="418" t="s">
        <v>562</v>
      </c>
      <c r="H23" s="418"/>
      <c r="I23" s="418"/>
      <c r="J23" s="418"/>
      <c r="K23" s="418"/>
    </row>
    <row r="24" spans="1:11" x14ac:dyDescent="0.3">
      <c r="A24" s="285" t="s">
        <v>488</v>
      </c>
      <c r="B24" s="289">
        <f>B23+B9</f>
        <v>0</v>
      </c>
      <c r="C24" s="289">
        <f>C23+C9</f>
        <v>0</v>
      </c>
      <c r="D24" s="289">
        <f>D23+D9</f>
        <v>0</v>
      </c>
      <c r="E24" s="283" t="str">
        <f t="shared" si="0"/>
        <v/>
      </c>
      <c r="F24" s="283" t="str">
        <f t="shared" si="1"/>
        <v/>
      </c>
      <c r="G24" s="418"/>
      <c r="H24" s="418"/>
      <c r="I24" s="418"/>
      <c r="J24" s="418"/>
      <c r="K24" s="418"/>
    </row>
    <row r="25" spans="1:11" x14ac:dyDescent="0.3">
      <c r="A25" s="281" t="s">
        <v>489</v>
      </c>
      <c r="B25" s="311"/>
      <c r="C25" s="311"/>
      <c r="D25" s="311"/>
      <c r="E25" s="283" t="str">
        <f t="shared" si="0"/>
        <v/>
      </c>
      <c r="F25" s="283" t="str">
        <f t="shared" si="1"/>
        <v/>
      </c>
      <c r="G25" s="418"/>
      <c r="H25" s="418"/>
      <c r="I25" s="418"/>
      <c r="J25" s="418"/>
      <c r="K25" s="418"/>
    </row>
    <row r="26" spans="1:11" x14ac:dyDescent="0.3">
      <c r="A26" s="285" t="s">
        <v>490</v>
      </c>
      <c r="B26" s="286">
        <f>B24-B25</f>
        <v>0</v>
      </c>
      <c r="C26" s="286">
        <f>C24-C25</f>
        <v>0</v>
      </c>
      <c r="D26" s="286">
        <f>D24-D25</f>
        <v>0</v>
      </c>
      <c r="E26" s="283" t="str">
        <f t="shared" si="0"/>
        <v/>
      </c>
      <c r="F26" s="283" t="str">
        <f t="shared" si="1"/>
        <v/>
      </c>
      <c r="G26" s="418"/>
      <c r="H26" s="418"/>
      <c r="I26" s="418"/>
      <c r="J26" s="418"/>
      <c r="K26" s="418"/>
    </row>
    <row r="27" spans="1:11" x14ac:dyDescent="0.3">
      <c r="A27" s="285" t="s">
        <v>491</v>
      </c>
      <c r="B27" s="286">
        <f>B23-B25</f>
        <v>0</v>
      </c>
      <c r="C27" s="286">
        <f>C23-C25</f>
        <v>0</v>
      </c>
      <c r="D27" s="286">
        <f>D23-D25</f>
        <v>0</v>
      </c>
      <c r="E27" s="283" t="str">
        <f t="shared" si="0"/>
        <v/>
      </c>
      <c r="F27" s="283" t="str">
        <f t="shared" si="1"/>
        <v/>
      </c>
      <c r="G27" s="418"/>
      <c r="H27" s="418"/>
      <c r="I27" s="418"/>
      <c r="J27" s="418"/>
      <c r="K27" s="418"/>
    </row>
    <row r="28" spans="1:11" x14ac:dyDescent="0.3">
      <c r="A28" s="285" t="s">
        <v>492</v>
      </c>
      <c r="B28" s="286">
        <f>B27+B22+B21</f>
        <v>0</v>
      </c>
      <c r="C28" s="286">
        <f>C27+C22+C21</f>
        <v>0</v>
      </c>
      <c r="D28" s="286">
        <f>D27+D22+D21</f>
        <v>0</v>
      </c>
      <c r="E28" s="283" t="str">
        <f t="shared" si="0"/>
        <v/>
      </c>
      <c r="F28" s="283" t="str">
        <f t="shared" si="1"/>
        <v/>
      </c>
      <c r="G28" s="418"/>
      <c r="H28" s="418"/>
      <c r="I28" s="418"/>
      <c r="J28" s="418"/>
      <c r="K28" s="418"/>
    </row>
    <row r="29" spans="1:11" x14ac:dyDescent="0.3">
      <c r="A29" s="290"/>
      <c r="B29" s="291"/>
      <c r="C29" s="291"/>
      <c r="D29" s="291"/>
      <c r="E29" s="292" t="str">
        <f>IF(B29=0,"",(C29-B29)/B29)</f>
        <v/>
      </c>
      <c r="F29" s="292"/>
      <c r="G29" s="415"/>
      <c r="H29" s="415"/>
      <c r="I29" s="415"/>
      <c r="J29" s="415"/>
      <c r="K29" s="415"/>
    </row>
    <row r="30" spans="1:11" s="274" customFormat="1" x14ac:dyDescent="0.3">
      <c r="A30" s="278" t="s">
        <v>493</v>
      </c>
      <c r="B30" s="293">
        <f>B4</f>
        <v>45382</v>
      </c>
      <c r="C30" s="293">
        <f>C4</f>
        <v>45747</v>
      </c>
      <c r="D30" s="293">
        <f>D4</f>
        <v>46112</v>
      </c>
      <c r="E30" s="411" t="s">
        <v>469</v>
      </c>
      <c r="F30" s="411"/>
      <c r="G30" s="415"/>
      <c r="H30" s="415"/>
      <c r="I30" s="415"/>
      <c r="J30" s="415"/>
      <c r="K30" s="415"/>
    </row>
    <row r="31" spans="1:11" x14ac:dyDescent="0.3">
      <c r="A31" s="278" t="s">
        <v>494</v>
      </c>
      <c r="B31" s="294"/>
      <c r="C31" s="294"/>
      <c r="D31" s="294"/>
      <c r="E31" s="295">
        <f>E4</f>
        <v>45747</v>
      </c>
      <c r="F31" s="295">
        <f>F4</f>
        <v>46112</v>
      </c>
      <c r="G31" s="415"/>
      <c r="H31" s="415"/>
      <c r="I31" s="415"/>
      <c r="J31" s="415"/>
      <c r="K31" s="415"/>
    </row>
    <row r="32" spans="1:11" x14ac:dyDescent="0.3">
      <c r="A32" s="281" t="s">
        <v>495</v>
      </c>
      <c r="B32" s="311"/>
      <c r="C32" s="311"/>
      <c r="D32" s="311"/>
      <c r="E32" s="283" t="str">
        <f t="shared" ref="E32:E76" si="2">IF(B32=0,"",(C32-B32)/B32)</f>
        <v/>
      </c>
      <c r="F32" s="283" t="str">
        <f t="shared" ref="F32:F76" si="3">IF(C32=0,"",(D32-C32)/C32)</f>
        <v/>
      </c>
      <c r="G32" s="416" t="s">
        <v>563</v>
      </c>
      <c r="H32" s="416"/>
      <c r="I32" s="416"/>
      <c r="J32" s="416"/>
      <c r="K32" s="416"/>
    </row>
    <row r="33" spans="1:11" x14ac:dyDescent="0.3">
      <c r="A33" s="281" t="s">
        <v>496</v>
      </c>
      <c r="B33" s="311"/>
      <c r="C33" s="311"/>
      <c r="D33" s="311"/>
      <c r="E33" s="283" t="str">
        <f t="shared" si="2"/>
        <v/>
      </c>
      <c r="F33" s="283" t="str">
        <f t="shared" si="3"/>
        <v/>
      </c>
      <c r="G33" s="416"/>
      <c r="H33" s="416"/>
      <c r="I33" s="416"/>
      <c r="J33" s="416"/>
      <c r="K33" s="416"/>
    </row>
    <row r="34" spans="1:11" x14ac:dyDescent="0.3">
      <c r="A34" s="285" t="s">
        <v>497</v>
      </c>
      <c r="B34" s="286">
        <f>B32+B33</f>
        <v>0</v>
      </c>
      <c r="C34" s="286">
        <f>C32+C33</f>
        <v>0</v>
      </c>
      <c r="D34" s="286">
        <f>D32+D33</f>
        <v>0</v>
      </c>
      <c r="E34" s="283" t="str">
        <f t="shared" si="2"/>
        <v/>
      </c>
      <c r="F34" s="283" t="str">
        <f t="shared" si="3"/>
        <v/>
      </c>
      <c r="G34" s="416"/>
      <c r="H34" s="416"/>
      <c r="I34" s="416"/>
      <c r="J34" s="416"/>
      <c r="K34" s="416"/>
    </row>
    <row r="35" spans="1:11" x14ac:dyDescent="0.3">
      <c r="A35" s="281" t="s">
        <v>498</v>
      </c>
      <c r="B35" s="311"/>
      <c r="C35" s="311"/>
      <c r="D35" s="311">
        <v>0</v>
      </c>
      <c r="E35" s="283" t="str">
        <f t="shared" si="2"/>
        <v/>
      </c>
      <c r="F35" s="283" t="str">
        <f t="shared" si="3"/>
        <v/>
      </c>
      <c r="G35" s="416"/>
      <c r="H35" s="416"/>
      <c r="I35" s="416"/>
      <c r="J35" s="416"/>
      <c r="K35" s="416"/>
    </row>
    <row r="36" spans="1:11" x14ac:dyDescent="0.3">
      <c r="A36" s="285" t="s">
        <v>499</v>
      </c>
      <c r="B36" s="286">
        <f>B34+B35</f>
        <v>0</v>
      </c>
      <c r="C36" s="286">
        <f>C34+C35</f>
        <v>0</v>
      </c>
      <c r="D36" s="286">
        <f>D34+D35</f>
        <v>0</v>
      </c>
      <c r="E36" s="283" t="str">
        <f t="shared" si="2"/>
        <v/>
      </c>
      <c r="F36" s="283" t="str">
        <f t="shared" si="3"/>
        <v/>
      </c>
      <c r="G36" s="416"/>
      <c r="H36" s="416"/>
      <c r="I36" s="416"/>
      <c r="J36" s="416"/>
      <c r="K36" s="416"/>
    </row>
    <row r="37" spans="1:11" x14ac:dyDescent="0.3">
      <c r="A37" s="281" t="s">
        <v>500</v>
      </c>
      <c r="B37" s="311">
        <v>0</v>
      </c>
      <c r="C37" s="311"/>
      <c r="D37" s="311">
        <v>0</v>
      </c>
      <c r="E37" s="283" t="str">
        <f t="shared" si="2"/>
        <v/>
      </c>
      <c r="F37" s="283" t="str">
        <f t="shared" si="3"/>
        <v/>
      </c>
      <c r="G37" s="416"/>
      <c r="H37" s="416"/>
      <c r="I37" s="416"/>
      <c r="J37" s="416"/>
      <c r="K37" s="416"/>
    </row>
    <row r="38" spans="1:11" x14ac:dyDescent="0.3">
      <c r="A38" s="285" t="s">
        <v>501</v>
      </c>
      <c r="B38" s="286">
        <f>B36-B74-B62</f>
        <v>0</v>
      </c>
      <c r="C38" s="286">
        <f>C36-C74-C62</f>
        <v>0</v>
      </c>
      <c r="D38" s="286">
        <f>D36-D74-D62</f>
        <v>0</v>
      </c>
      <c r="E38" s="283" t="str">
        <f t="shared" si="2"/>
        <v/>
      </c>
      <c r="F38" s="283" t="str">
        <f t="shared" si="3"/>
        <v/>
      </c>
      <c r="G38" s="415"/>
      <c r="H38" s="415"/>
      <c r="I38" s="415"/>
      <c r="J38" s="415"/>
      <c r="K38" s="415"/>
    </row>
    <row r="39" spans="1:11" x14ac:dyDescent="0.3">
      <c r="A39" s="296" t="s">
        <v>502</v>
      </c>
      <c r="B39" s="311"/>
      <c r="C39" s="311"/>
      <c r="D39" s="311">
        <v>0</v>
      </c>
      <c r="E39" s="283" t="str">
        <f t="shared" si="2"/>
        <v/>
      </c>
      <c r="F39" s="283" t="str">
        <f t="shared" si="3"/>
        <v/>
      </c>
      <c r="G39" s="416" t="s">
        <v>564</v>
      </c>
      <c r="H39" s="416"/>
      <c r="I39" s="416"/>
      <c r="J39" s="416"/>
      <c r="K39" s="416"/>
    </row>
    <row r="40" spans="1:11" x14ac:dyDescent="0.3">
      <c r="A40" s="281" t="s">
        <v>503</v>
      </c>
      <c r="B40" s="311"/>
      <c r="C40" s="311"/>
      <c r="D40" s="311">
        <v>0</v>
      </c>
      <c r="E40" s="283" t="str">
        <f t="shared" si="2"/>
        <v/>
      </c>
      <c r="F40" s="283" t="str">
        <f t="shared" si="3"/>
        <v/>
      </c>
      <c r="G40" s="416"/>
      <c r="H40" s="416"/>
      <c r="I40" s="416"/>
      <c r="J40" s="416"/>
      <c r="K40" s="416"/>
    </row>
    <row r="41" spans="1:11" x14ac:dyDescent="0.3">
      <c r="A41" s="281" t="s">
        <v>504</v>
      </c>
      <c r="B41" s="311"/>
      <c r="C41" s="311"/>
      <c r="D41" s="311">
        <v>0</v>
      </c>
      <c r="E41" s="283" t="str">
        <f t="shared" si="2"/>
        <v/>
      </c>
      <c r="F41" s="283" t="str">
        <f t="shared" si="3"/>
        <v/>
      </c>
      <c r="G41" s="416"/>
      <c r="H41" s="416"/>
      <c r="I41" s="416"/>
      <c r="J41" s="416"/>
      <c r="K41" s="416"/>
    </row>
    <row r="42" spans="1:11" x14ac:dyDescent="0.3">
      <c r="A42" s="285" t="s">
        <v>505</v>
      </c>
      <c r="B42" s="286">
        <f>B40+B41</f>
        <v>0</v>
      </c>
      <c r="C42" s="286">
        <f>C40+C41</f>
        <v>0</v>
      </c>
      <c r="D42" s="286">
        <f>D40+D41</f>
        <v>0</v>
      </c>
      <c r="E42" s="283" t="str">
        <f t="shared" si="2"/>
        <v/>
      </c>
      <c r="F42" s="283" t="str">
        <f t="shared" si="3"/>
        <v/>
      </c>
      <c r="G42" s="416"/>
      <c r="H42" s="416"/>
      <c r="I42" s="416"/>
      <c r="J42" s="416"/>
      <c r="K42" s="416"/>
    </row>
    <row r="43" spans="1:11" x14ac:dyDescent="0.3">
      <c r="A43" s="281" t="s">
        <v>506</v>
      </c>
      <c r="B43" s="311"/>
      <c r="C43" s="311"/>
      <c r="D43" s="311">
        <v>0</v>
      </c>
      <c r="E43" s="283" t="str">
        <f t="shared" si="2"/>
        <v/>
      </c>
      <c r="F43" s="283" t="str">
        <f t="shared" si="3"/>
        <v/>
      </c>
      <c r="G43" s="416"/>
      <c r="H43" s="416"/>
      <c r="I43" s="416"/>
      <c r="J43" s="416"/>
      <c r="K43" s="416"/>
    </row>
    <row r="44" spans="1:11" x14ac:dyDescent="0.3">
      <c r="A44" s="281" t="s">
        <v>507</v>
      </c>
      <c r="B44" s="311"/>
      <c r="C44" s="311"/>
      <c r="D44" s="311">
        <v>0</v>
      </c>
      <c r="E44" s="283" t="str">
        <f t="shared" si="2"/>
        <v/>
      </c>
      <c r="F44" s="283" t="str">
        <f t="shared" si="3"/>
        <v/>
      </c>
      <c r="G44" s="416"/>
      <c r="H44" s="416"/>
      <c r="I44" s="416"/>
      <c r="J44" s="416"/>
      <c r="K44" s="416"/>
    </row>
    <row r="45" spans="1:11" x14ac:dyDescent="0.3">
      <c r="A45" s="285" t="s">
        <v>508</v>
      </c>
      <c r="B45" s="286">
        <f>SUM(B42:B44)</f>
        <v>0</v>
      </c>
      <c r="C45" s="286">
        <f>SUM(C42:C44)</f>
        <v>0</v>
      </c>
      <c r="D45" s="286">
        <f>SUM(D42:D44)</f>
        <v>0</v>
      </c>
      <c r="E45" s="283" t="str">
        <f t="shared" si="2"/>
        <v/>
      </c>
      <c r="F45" s="283" t="str">
        <f t="shared" si="3"/>
        <v/>
      </c>
      <c r="G45" s="416"/>
      <c r="H45" s="416"/>
      <c r="I45" s="416"/>
      <c r="J45" s="416"/>
      <c r="K45" s="416"/>
    </row>
    <row r="46" spans="1:11" x14ac:dyDescent="0.3">
      <c r="A46" s="281" t="s">
        <v>509</v>
      </c>
      <c r="B46" s="311"/>
      <c r="C46" s="311"/>
      <c r="D46" s="311">
        <v>0</v>
      </c>
      <c r="E46" s="283" t="str">
        <f t="shared" si="2"/>
        <v/>
      </c>
      <c r="F46" s="283" t="str">
        <f t="shared" si="3"/>
        <v/>
      </c>
      <c r="G46" s="416"/>
      <c r="H46" s="416"/>
      <c r="I46" s="416"/>
      <c r="J46" s="416"/>
      <c r="K46" s="416"/>
    </row>
    <row r="47" spans="1:11" x14ac:dyDescent="0.3">
      <c r="A47" s="281" t="s">
        <v>510</v>
      </c>
      <c r="B47" s="311"/>
      <c r="C47" s="311"/>
      <c r="D47" s="311">
        <v>0</v>
      </c>
      <c r="E47" s="283" t="str">
        <f t="shared" si="2"/>
        <v/>
      </c>
      <c r="F47" s="283" t="str">
        <f t="shared" si="3"/>
        <v/>
      </c>
      <c r="G47" s="416"/>
      <c r="H47" s="416"/>
      <c r="I47" s="416"/>
      <c r="J47" s="416"/>
      <c r="K47" s="416"/>
    </row>
    <row r="48" spans="1:11" x14ac:dyDescent="0.3">
      <c r="A48" s="285" t="s">
        <v>511</v>
      </c>
      <c r="B48" s="286">
        <f>B46+B47</f>
        <v>0</v>
      </c>
      <c r="C48" s="286">
        <f>C46+C47</f>
        <v>0</v>
      </c>
      <c r="D48" s="286">
        <f>D46+D47</f>
        <v>0</v>
      </c>
      <c r="E48" s="283" t="str">
        <f t="shared" si="2"/>
        <v/>
      </c>
      <c r="F48" s="283" t="str">
        <f t="shared" si="3"/>
        <v/>
      </c>
      <c r="G48" s="415"/>
      <c r="H48" s="415"/>
      <c r="I48" s="415"/>
      <c r="J48" s="415"/>
      <c r="K48" s="415"/>
    </row>
    <row r="49" spans="1:11" x14ac:dyDescent="0.3">
      <c r="A49" s="281" t="s">
        <v>512</v>
      </c>
      <c r="B49" s="311"/>
      <c r="C49" s="311"/>
      <c r="D49" s="311">
        <v>0</v>
      </c>
      <c r="E49" s="283" t="str">
        <f t="shared" si="2"/>
        <v/>
      </c>
      <c r="F49" s="283" t="str">
        <f t="shared" si="3"/>
        <v/>
      </c>
      <c r="G49" s="416" t="s">
        <v>565</v>
      </c>
      <c r="H49" s="416"/>
      <c r="I49" s="416"/>
      <c r="J49" s="416"/>
      <c r="K49" s="416"/>
    </row>
    <row r="50" spans="1:11" x14ac:dyDescent="0.3">
      <c r="A50" s="281" t="s">
        <v>513</v>
      </c>
      <c r="B50" s="311"/>
      <c r="C50" s="311"/>
      <c r="D50" s="311"/>
      <c r="E50" s="283" t="str">
        <f t="shared" si="2"/>
        <v/>
      </c>
      <c r="F50" s="283" t="str">
        <f t="shared" si="3"/>
        <v/>
      </c>
      <c r="G50" s="416"/>
      <c r="H50" s="416"/>
      <c r="I50" s="416"/>
      <c r="J50" s="416"/>
      <c r="K50" s="416"/>
    </row>
    <row r="51" spans="1:11" x14ac:dyDescent="0.3">
      <c r="A51" s="281" t="s">
        <v>514</v>
      </c>
      <c r="B51" s="311"/>
      <c r="C51" s="311"/>
      <c r="D51" s="311"/>
      <c r="E51" s="283" t="str">
        <f t="shared" si="2"/>
        <v/>
      </c>
      <c r="F51" s="283" t="str">
        <f t="shared" si="3"/>
        <v/>
      </c>
      <c r="G51" s="416"/>
      <c r="H51" s="416"/>
      <c r="I51" s="416"/>
      <c r="J51" s="416"/>
      <c r="K51" s="416"/>
    </row>
    <row r="52" spans="1:11" x14ac:dyDescent="0.3">
      <c r="A52" s="281" t="s">
        <v>515</v>
      </c>
      <c r="B52" s="311"/>
      <c r="C52" s="311"/>
      <c r="D52" s="311"/>
      <c r="E52" s="283" t="str">
        <f t="shared" si="2"/>
        <v/>
      </c>
      <c r="F52" s="283" t="str">
        <f t="shared" si="3"/>
        <v/>
      </c>
      <c r="G52" s="416"/>
      <c r="H52" s="416"/>
      <c r="I52" s="416"/>
      <c r="J52" s="416"/>
      <c r="K52" s="416"/>
    </row>
    <row r="53" spans="1:11" x14ac:dyDescent="0.3">
      <c r="A53" s="281" t="s">
        <v>516</v>
      </c>
      <c r="B53" s="311"/>
      <c r="C53" s="311"/>
      <c r="D53" s="311"/>
      <c r="E53" s="283" t="str">
        <f t="shared" si="2"/>
        <v/>
      </c>
      <c r="F53" s="283" t="str">
        <f t="shared" si="3"/>
        <v/>
      </c>
      <c r="G53" s="416"/>
      <c r="H53" s="416"/>
      <c r="I53" s="416"/>
      <c r="J53" s="416"/>
      <c r="K53" s="416"/>
    </row>
    <row r="54" spans="1:11" x14ac:dyDescent="0.3">
      <c r="A54" s="297" t="s">
        <v>517</v>
      </c>
      <c r="B54" s="298">
        <f>SUM(B49:B53)</f>
        <v>0</v>
      </c>
      <c r="C54" s="298">
        <f>SUM(C49:C53)</f>
        <v>0</v>
      </c>
      <c r="D54" s="298">
        <f>SUM(D49:D53)</f>
        <v>0</v>
      </c>
      <c r="E54" s="283" t="str">
        <f t="shared" si="2"/>
        <v/>
      </c>
      <c r="F54" s="283" t="str">
        <f t="shared" si="3"/>
        <v/>
      </c>
      <c r="G54" s="419"/>
      <c r="H54" s="419"/>
      <c r="I54" s="419"/>
      <c r="J54" s="419"/>
      <c r="K54" s="419"/>
    </row>
    <row r="55" spans="1:11" x14ac:dyDescent="0.3">
      <c r="A55" s="297" t="s">
        <v>518</v>
      </c>
      <c r="B55" s="298">
        <f>B45+B48</f>
        <v>0</v>
      </c>
      <c r="C55" s="298">
        <f>C45+C48</f>
        <v>0</v>
      </c>
      <c r="D55" s="298">
        <f>D45+D48</f>
        <v>0</v>
      </c>
      <c r="E55" s="283" t="str">
        <f t="shared" si="2"/>
        <v/>
      </c>
      <c r="F55" s="283" t="str">
        <f t="shared" si="3"/>
        <v/>
      </c>
      <c r="G55" s="419"/>
      <c r="H55" s="419"/>
      <c r="I55" s="419"/>
      <c r="J55" s="419"/>
      <c r="K55" s="419"/>
    </row>
    <row r="56" spans="1:11" x14ac:dyDescent="0.3">
      <c r="A56" s="297" t="s">
        <v>519</v>
      </c>
      <c r="B56" s="298">
        <f>+B54+B45+B48</f>
        <v>0</v>
      </c>
      <c r="C56" s="298">
        <f>+C54+C45+C48</f>
        <v>0</v>
      </c>
      <c r="D56" s="298">
        <f>+D54+D45+D48</f>
        <v>0</v>
      </c>
      <c r="E56" s="283" t="str">
        <f t="shared" si="2"/>
        <v/>
      </c>
      <c r="F56" s="283" t="str">
        <f t="shared" si="3"/>
        <v/>
      </c>
      <c r="G56" s="419"/>
      <c r="H56" s="419"/>
      <c r="I56" s="419"/>
      <c r="J56" s="419"/>
      <c r="K56" s="419"/>
    </row>
    <row r="57" spans="1:11" x14ac:dyDescent="0.3">
      <c r="A57" s="297" t="s">
        <v>520</v>
      </c>
      <c r="B57" s="298">
        <f>+B34+B56+B35</f>
        <v>0</v>
      </c>
      <c r="C57" s="298">
        <f>+C34+C56+C35</f>
        <v>0</v>
      </c>
      <c r="D57" s="298">
        <f>+D34+D56+D35</f>
        <v>0</v>
      </c>
      <c r="E57" s="283" t="str">
        <f t="shared" si="2"/>
        <v/>
      </c>
      <c r="F57" s="283" t="str">
        <f t="shared" si="3"/>
        <v/>
      </c>
      <c r="G57" s="419"/>
      <c r="H57" s="419"/>
      <c r="I57" s="419"/>
      <c r="J57" s="419"/>
      <c r="K57" s="419"/>
    </row>
    <row r="58" spans="1:11" s="274" customFormat="1" x14ac:dyDescent="0.3">
      <c r="A58" s="278" t="s">
        <v>521</v>
      </c>
      <c r="B58" s="318"/>
      <c r="C58" s="318"/>
      <c r="D58" s="318"/>
      <c r="E58" s="283" t="str">
        <f t="shared" si="2"/>
        <v/>
      </c>
      <c r="F58" s="283" t="str">
        <f t="shared" si="3"/>
        <v/>
      </c>
      <c r="G58" s="419"/>
      <c r="H58" s="419"/>
      <c r="I58" s="419"/>
      <c r="J58" s="419"/>
      <c r="K58" s="419"/>
    </row>
    <row r="59" spans="1:11" ht="15.75" customHeight="1" x14ac:dyDescent="0.3">
      <c r="A59" s="281" t="s">
        <v>522</v>
      </c>
      <c r="B59" s="311"/>
      <c r="C59" s="311"/>
      <c r="D59" s="311"/>
      <c r="E59" s="283" t="str">
        <f t="shared" si="2"/>
        <v/>
      </c>
      <c r="F59" s="283" t="str">
        <f t="shared" si="3"/>
        <v/>
      </c>
      <c r="G59" s="420" t="s">
        <v>566</v>
      </c>
      <c r="H59" s="420"/>
      <c r="I59" s="420"/>
      <c r="J59" s="420"/>
      <c r="K59" s="420"/>
    </row>
    <row r="60" spans="1:11" x14ac:dyDescent="0.3">
      <c r="A60" s="281" t="s">
        <v>523</v>
      </c>
      <c r="B60" s="311"/>
      <c r="C60" s="311"/>
      <c r="D60" s="311">
        <v>0</v>
      </c>
      <c r="E60" s="283" t="str">
        <f t="shared" si="2"/>
        <v/>
      </c>
      <c r="F60" s="283" t="str">
        <f t="shared" si="3"/>
        <v/>
      </c>
      <c r="G60" s="420"/>
      <c r="H60" s="420"/>
      <c r="I60" s="420"/>
      <c r="J60" s="420"/>
      <c r="K60" s="420"/>
    </row>
    <row r="61" spans="1:11" x14ac:dyDescent="0.3">
      <c r="A61" s="285" t="s">
        <v>524</v>
      </c>
      <c r="B61" s="286">
        <f>B59-B60</f>
        <v>0</v>
      </c>
      <c r="C61" s="286">
        <f>C59-C60</f>
        <v>0</v>
      </c>
      <c r="D61" s="286">
        <f>D59-D60</f>
        <v>0</v>
      </c>
      <c r="E61" s="283" t="str">
        <f t="shared" si="2"/>
        <v/>
      </c>
      <c r="F61" s="283" t="str">
        <f t="shared" si="3"/>
        <v/>
      </c>
      <c r="G61" s="420"/>
      <c r="H61" s="420"/>
      <c r="I61" s="420"/>
      <c r="J61" s="420"/>
      <c r="K61" s="420"/>
    </row>
    <row r="62" spans="1:11" x14ac:dyDescent="0.3">
      <c r="A62" s="281" t="s">
        <v>525</v>
      </c>
      <c r="B62" s="311"/>
      <c r="C62" s="311"/>
      <c r="D62" s="311">
        <v>0</v>
      </c>
      <c r="E62" s="283" t="str">
        <f t="shared" si="2"/>
        <v/>
      </c>
      <c r="F62" s="283" t="str">
        <f t="shared" si="3"/>
        <v/>
      </c>
      <c r="G62" s="420"/>
      <c r="H62" s="420"/>
      <c r="I62" s="420"/>
      <c r="J62" s="420"/>
      <c r="K62" s="420"/>
    </row>
    <row r="63" spans="1:11" x14ac:dyDescent="0.3">
      <c r="A63" s="285" t="s">
        <v>526</v>
      </c>
      <c r="B63" s="286">
        <f>+B61+B62</f>
        <v>0</v>
      </c>
      <c r="C63" s="286">
        <f>+C61+C62</f>
        <v>0</v>
      </c>
      <c r="D63" s="286">
        <f>+D61+D62</f>
        <v>0</v>
      </c>
      <c r="E63" s="283" t="str">
        <f t="shared" si="2"/>
        <v/>
      </c>
      <c r="F63" s="283" t="str">
        <f t="shared" si="3"/>
        <v/>
      </c>
      <c r="G63" s="420"/>
      <c r="H63" s="420"/>
      <c r="I63" s="420"/>
      <c r="J63" s="420"/>
      <c r="K63" s="420"/>
    </row>
    <row r="64" spans="1:11" x14ac:dyDescent="0.3">
      <c r="A64" s="285" t="s">
        <v>527</v>
      </c>
      <c r="B64" s="286">
        <f>SUM(B65:B71)</f>
        <v>0</v>
      </c>
      <c r="C64" s="286">
        <f>SUM(C65:C71)</f>
        <v>0</v>
      </c>
      <c r="D64" s="286">
        <f>SUM(D65:D71)</f>
        <v>0</v>
      </c>
      <c r="E64" s="283" t="str">
        <f t="shared" si="2"/>
        <v/>
      </c>
      <c r="F64" s="283" t="str">
        <f t="shared" si="3"/>
        <v/>
      </c>
      <c r="G64" s="415"/>
      <c r="H64" s="415"/>
      <c r="I64" s="415"/>
      <c r="J64" s="415"/>
      <c r="K64" s="415"/>
    </row>
    <row r="65" spans="1:11" x14ac:dyDescent="0.3">
      <c r="A65" s="281" t="s">
        <v>528</v>
      </c>
      <c r="B65" s="311"/>
      <c r="C65" s="311"/>
      <c r="D65" s="311"/>
      <c r="E65" s="283" t="str">
        <f t="shared" si="2"/>
        <v/>
      </c>
      <c r="F65" s="283" t="str">
        <f t="shared" si="3"/>
        <v/>
      </c>
      <c r="G65" s="416" t="s">
        <v>567</v>
      </c>
      <c r="H65" s="416"/>
      <c r="I65" s="416"/>
      <c r="J65" s="416"/>
      <c r="K65" s="416"/>
    </row>
    <row r="66" spans="1:11" x14ac:dyDescent="0.3">
      <c r="A66" s="281" t="s">
        <v>529</v>
      </c>
      <c r="B66" s="311"/>
      <c r="C66" s="311"/>
      <c r="D66" s="311"/>
      <c r="E66" s="283" t="str">
        <f t="shared" si="2"/>
        <v/>
      </c>
      <c r="F66" s="283" t="str">
        <f t="shared" si="3"/>
        <v/>
      </c>
      <c r="G66" s="416"/>
      <c r="H66" s="416"/>
      <c r="I66" s="416"/>
      <c r="J66" s="416"/>
      <c r="K66" s="416"/>
    </row>
    <row r="67" spans="1:11" x14ac:dyDescent="0.3">
      <c r="A67" s="281" t="s">
        <v>530</v>
      </c>
      <c r="B67" s="311"/>
      <c r="C67" s="311"/>
      <c r="D67" s="311"/>
      <c r="E67" s="283" t="str">
        <f t="shared" si="2"/>
        <v/>
      </c>
      <c r="F67" s="283" t="str">
        <f t="shared" si="3"/>
        <v/>
      </c>
      <c r="G67" s="416"/>
      <c r="H67" s="416"/>
      <c r="I67" s="416"/>
      <c r="J67" s="416"/>
      <c r="K67" s="416"/>
    </row>
    <row r="68" spans="1:11" x14ac:dyDescent="0.3">
      <c r="A68" s="281" t="s">
        <v>531</v>
      </c>
      <c r="B68" s="311"/>
      <c r="C68" s="311"/>
      <c r="D68" s="311"/>
      <c r="E68" s="283" t="str">
        <f t="shared" si="2"/>
        <v/>
      </c>
      <c r="F68" s="283" t="str">
        <f t="shared" si="3"/>
        <v/>
      </c>
      <c r="G68" s="416"/>
      <c r="H68" s="416"/>
      <c r="I68" s="416"/>
      <c r="J68" s="416"/>
      <c r="K68" s="416"/>
    </row>
    <row r="69" spans="1:11" x14ac:dyDescent="0.3">
      <c r="A69" s="281" t="s">
        <v>532</v>
      </c>
      <c r="B69" s="311"/>
      <c r="C69" s="311"/>
      <c r="D69" s="311"/>
      <c r="E69" s="283" t="str">
        <f t="shared" si="2"/>
        <v/>
      </c>
      <c r="F69" s="283" t="str">
        <f t="shared" si="3"/>
        <v/>
      </c>
      <c r="G69" s="416"/>
      <c r="H69" s="416"/>
      <c r="I69" s="416"/>
      <c r="J69" s="416"/>
      <c r="K69" s="416"/>
    </row>
    <row r="70" spans="1:11" x14ac:dyDescent="0.3">
      <c r="A70" s="281" t="s">
        <v>533</v>
      </c>
      <c r="B70" s="311"/>
      <c r="C70" s="311"/>
      <c r="D70" s="311"/>
      <c r="E70" s="283" t="str">
        <f t="shared" si="2"/>
        <v/>
      </c>
      <c r="F70" s="283" t="str">
        <f t="shared" si="3"/>
        <v/>
      </c>
      <c r="G70" s="416"/>
      <c r="H70" s="416"/>
      <c r="I70" s="416"/>
      <c r="J70" s="416"/>
      <c r="K70" s="416"/>
    </row>
    <row r="71" spans="1:11" x14ac:dyDescent="0.3">
      <c r="A71" s="281" t="s">
        <v>534</v>
      </c>
      <c r="B71" s="311"/>
      <c r="C71" s="311"/>
      <c r="D71" s="311"/>
      <c r="E71" s="283" t="str">
        <f t="shared" si="2"/>
        <v/>
      </c>
      <c r="F71" s="283" t="str">
        <f t="shared" si="3"/>
        <v/>
      </c>
      <c r="G71" s="416"/>
      <c r="H71" s="416"/>
      <c r="I71" s="416"/>
      <c r="J71" s="416"/>
      <c r="K71" s="416"/>
    </row>
    <row r="72" spans="1:11" x14ac:dyDescent="0.3">
      <c r="A72" s="285" t="s">
        <v>535</v>
      </c>
      <c r="B72" s="286">
        <f>SUM(B73:B75)</f>
        <v>0</v>
      </c>
      <c r="C72" s="286">
        <f>SUM(C73:C75)</f>
        <v>0</v>
      </c>
      <c r="D72" s="286">
        <f>SUM(D73:D75)</f>
        <v>0</v>
      </c>
      <c r="E72" s="283" t="str">
        <f t="shared" si="2"/>
        <v/>
      </c>
      <c r="F72" s="283" t="str">
        <f t="shared" si="3"/>
        <v/>
      </c>
      <c r="G72" s="415"/>
      <c r="H72" s="415"/>
      <c r="I72" s="415"/>
      <c r="J72" s="415"/>
      <c r="K72" s="415"/>
    </row>
    <row r="73" spans="1:11" x14ac:dyDescent="0.3">
      <c r="A73" s="281" t="s">
        <v>536</v>
      </c>
      <c r="B73" s="311"/>
      <c r="C73" s="311"/>
      <c r="D73" s="311">
        <v>0</v>
      </c>
      <c r="E73" s="283" t="str">
        <f t="shared" si="2"/>
        <v/>
      </c>
      <c r="F73" s="283" t="str">
        <f t="shared" si="3"/>
        <v/>
      </c>
      <c r="G73" s="416" t="s">
        <v>568</v>
      </c>
      <c r="H73" s="416"/>
      <c r="I73" s="416"/>
      <c r="J73" s="416"/>
      <c r="K73" s="416"/>
    </row>
    <row r="74" spans="1:11" x14ac:dyDescent="0.3">
      <c r="A74" s="281" t="s">
        <v>537</v>
      </c>
      <c r="B74" s="311"/>
      <c r="C74" s="311"/>
      <c r="D74" s="311">
        <v>0</v>
      </c>
      <c r="E74" s="283" t="str">
        <f t="shared" si="2"/>
        <v/>
      </c>
      <c r="F74" s="283" t="str">
        <f t="shared" si="3"/>
        <v/>
      </c>
      <c r="G74" s="416"/>
      <c r="H74" s="416"/>
      <c r="I74" s="416"/>
      <c r="J74" s="416"/>
      <c r="K74" s="416"/>
    </row>
    <row r="75" spans="1:11" x14ac:dyDescent="0.3">
      <c r="A75" s="281" t="s">
        <v>538</v>
      </c>
      <c r="B75" s="311"/>
      <c r="C75" s="311"/>
      <c r="D75" s="311">
        <v>0</v>
      </c>
      <c r="E75" s="283" t="str">
        <f t="shared" si="2"/>
        <v/>
      </c>
      <c r="F75" s="283" t="str">
        <f t="shared" si="3"/>
        <v/>
      </c>
      <c r="G75" s="416"/>
      <c r="H75" s="416"/>
      <c r="I75" s="416"/>
      <c r="J75" s="416"/>
      <c r="K75" s="416"/>
    </row>
    <row r="76" spans="1:11" x14ac:dyDescent="0.3">
      <c r="A76" s="285" t="s">
        <v>539</v>
      </c>
      <c r="B76" s="286">
        <f>B63+B64+B72</f>
        <v>0</v>
      </c>
      <c r="C76" s="286">
        <f>C63+C64+C72</f>
        <v>0</v>
      </c>
      <c r="D76" s="286">
        <f>D63+D64+D72</f>
        <v>0</v>
      </c>
      <c r="E76" s="283" t="str">
        <f t="shared" si="2"/>
        <v/>
      </c>
      <c r="F76" s="283" t="str">
        <f t="shared" si="3"/>
        <v/>
      </c>
      <c r="G76" s="415"/>
      <c r="H76" s="415"/>
      <c r="I76" s="415"/>
      <c r="J76" s="415"/>
      <c r="K76" s="415"/>
    </row>
    <row r="77" spans="1:11" x14ac:dyDescent="0.3">
      <c r="A77" s="300" t="s">
        <v>540</v>
      </c>
      <c r="B77" s="301">
        <f>B57-B76</f>
        <v>0</v>
      </c>
      <c r="C77" s="301">
        <f>C57-C76</f>
        <v>0</v>
      </c>
      <c r="D77" s="301">
        <f>D57-D76</f>
        <v>0</v>
      </c>
    </row>
    <row r="79" spans="1:11" x14ac:dyDescent="0.3">
      <c r="A79" s="302" t="s">
        <v>541</v>
      </c>
      <c r="B79" s="303">
        <f>B30</f>
        <v>45382</v>
      </c>
      <c r="C79" s="303">
        <f>C30</f>
        <v>45747</v>
      </c>
      <c r="D79" s="303">
        <f>D30</f>
        <v>46112</v>
      </c>
    </row>
    <row r="80" spans="1:11" x14ac:dyDescent="0.3">
      <c r="A80" s="304" t="s">
        <v>542</v>
      </c>
      <c r="B80" s="305">
        <f>B7</f>
        <v>0</v>
      </c>
      <c r="C80" s="305">
        <f>C7</f>
        <v>0</v>
      </c>
      <c r="D80" s="305">
        <f>D7</f>
        <v>0</v>
      </c>
    </row>
    <row r="81" spans="1:4" x14ac:dyDescent="0.3">
      <c r="A81" s="304" t="s">
        <v>482</v>
      </c>
      <c r="B81" s="305">
        <f>B17</f>
        <v>0</v>
      </c>
      <c r="C81" s="305">
        <f>C17</f>
        <v>0</v>
      </c>
      <c r="D81" s="305">
        <f>D17</f>
        <v>0</v>
      </c>
    </row>
    <row r="82" spans="1:4" x14ac:dyDescent="0.3">
      <c r="A82" s="304" t="s">
        <v>543</v>
      </c>
      <c r="B82" s="306">
        <f>IFERROR(B81/B80,0)</f>
        <v>0</v>
      </c>
      <c r="C82" s="306">
        <f>IFERROR(C81/C80,0)</f>
        <v>0</v>
      </c>
      <c r="D82" s="306">
        <f>IFERROR(D81/D80,0)</f>
        <v>0</v>
      </c>
    </row>
    <row r="83" spans="1:4" x14ac:dyDescent="0.3">
      <c r="A83" s="304" t="s">
        <v>544</v>
      </c>
      <c r="B83" s="305">
        <f>SUM(B18:B20)</f>
        <v>0</v>
      </c>
      <c r="C83" s="305">
        <f>SUM(C18:C20)</f>
        <v>0</v>
      </c>
      <c r="D83" s="305">
        <f>SUM(D18:D20)</f>
        <v>0</v>
      </c>
    </row>
    <row r="84" spans="1:4" x14ac:dyDescent="0.3">
      <c r="A84" s="304" t="s">
        <v>299</v>
      </c>
      <c r="B84" s="305">
        <f>B21</f>
        <v>0</v>
      </c>
      <c r="C84" s="305">
        <f>C21</f>
        <v>0</v>
      </c>
      <c r="D84" s="305">
        <f>D21</f>
        <v>0</v>
      </c>
    </row>
    <row r="85" spans="1:4" x14ac:dyDescent="0.3">
      <c r="A85" s="304" t="s">
        <v>545</v>
      </c>
      <c r="B85" s="305">
        <f>B23</f>
        <v>0</v>
      </c>
      <c r="C85" s="305">
        <f>C23</f>
        <v>0</v>
      </c>
      <c r="D85" s="305">
        <f>D23</f>
        <v>0</v>
      </c>
    </row>
    <row r="86" spans="1:4" x14ac:dyDescent="0.3">
      <c r="A86" s="304" t="s">
        <v>546</v>
      </c>
      <c r="B86" s="305">
        <f>B9</f>
        <v>0</v>
      </c>
      <c r="C86" s="305">
        <f>C9</f>
        <v>0</v>
      </c>
      <c r="D86" s="305">
        <f>D9</f>
        <v>0</v>
      </c>
    </row>
    <row r="87" spans="1:4" x14ac:dyDescent="0.3">
      <c r="A87" s="304" t="s">
        <v>547</v>
      </c>
      <c r="B87" s="305">
        <f>B24</f>
        <v>0</v>
      </c>
      <c r="C87" s="305">
        <f>C24</f>
        <v>0</v>
      </c>
      <c r="D87" s="305">
        <f>D24</f>
        <v>0</v>
      </c>
    </row>
    <row r="88" spans="1:4" x14ac:dyDescent="0.3">
      <c r="A88" s="304" t="s">
        <v>491</v>
      </c>
      <c r="B88" s="305">
        <f>B27</f>
        <v>0</v>
      </c>
      <c r="C88" s="305">
        <f>C27</f>
        <v>0</v>
      </c>
      <c r="D88" s="305">
        <f>D27</f>
        <v>0</v>
      </c>
    </row>
    <row r="89" spans="1:4" x14ac:dyDescent="0.3">
      <c r="A89" s="304" t="s">
        <v>524</v>
      </c>
      <c r="B89" s="305">
        <f>B61</f>
        <v>0</v>
      </c>
      <c r="C89" s="305">
        <f>C61</f>
        <v>0</v>
      </c>
      <c r="D89" s="305">
        <f>D61</f>
        <v>0</v>
      </c>
    </row>
    <row r="90" spans="1:4" x14ac:dyDescent="0.3">
      <c r="A90" s="304" t="s">
        <v>548</v>
      </c>
      <c r="B90" s="305">
        <f>B34</f>
        <v>0</v>
      </c>
      <c r="C90" s="305">
        <f>C34</f>
        <v>0</v>
      </c>
      <c r="D90" s="305">
        <f>D34</f>
        <v>0</v>
      </c>
    </row>
    <row r="91" spans="1:4" x14ac:dyDescent="0.3">
      <c r="A91" s="304" t="s">
        <v>549</v>
      </c>
      <c r="B91" s="305">
        <f>B38</f>
        <v>0</v>
      </c>
      <c r="C91" s="305">
        <f>C38</f>
        <v>0</v>
      </c>
      <c r="D91" s="305">
        <f>D38</f>
        <v>0</v>
      </c>
    </row>
    <row r="92" spans="1:4" x14ac:dyDescent="0.3">
      <c r="A92" s="304" t="s">
        <v>550</v>
      </c>
      <c r="B92" s="305">
        <f>B74</f>
        <v>0</v>
      </c>
      <c r="C92" s="305">
        <f>C74</f>
        <v>0</v>
      </c>
      <c r="D92" s="305">
        <f>D74</f>
        <v>0</v>
      </c>
    </row>
    <row r="93" spans="1:4" x14ac:dyDescent="0.3">
      <c r="A93" s="304" t="s">
        <v>551</v>
      </c>
      <c r="B93" s="305">
        <f>B52</f>
        <v>0</v>
      </c>
      <c r="C93" s="305">
        <f>C52</f>
        <v>0</v>
      </c>
      <c r="D93" s="305">
        <f>D52</f>
        <v>0</v>
      </c>
    </row>
    <row r="94" spans="1:4" x14ac:dyDescent="0.3">
      <c r="A94" s="307" t="s">
        <v>552</v>
      </c>
      <c r="B94" s="305">
        <f>B65</f>
        <v>0</v>
      </c>
      <c r="C94" s="305">
        <f>C65</f>
        <v>0</v>
      </c>
      <c r="D94" s="305">
        <f>D65</f>
        <v>0</v>
      </c>
    </row>
    <row r="95" spans="1:4" x14ac:dyDescent="0.3">
      <c r="A95" s="304" t="s">
        <v>553</v>
      </c>
      <c r="B95" s="305">
        <f>B45+B48</f>
        <v>0</v>
      </c>
      <c r="C95" s="305">
        <f>C45+C48</f>
        <v>0</v>
      </c>
      <c r="D95" s="305">
        <f>D45+D48</f>
        <v>0</v>
      </c>
    </row>
    <row r="96" spans="1:4" x14ac:dyDescent="0.3">
      <c r="A96" s="304" t="s">
        <v>554</v>
      </c>
      <c r="B96" s="308" t="str">
        <f>ROUND(IFERROR(B95/B91,0),2)&amp;" times"</f>
        <v>0 times</v>
      </c>
      <c r="C96" s="308" t="str">
        <f>ROUND(IFERROR(C95/C91,0),2)&amp;" times"</f>
        <v>0 times</v>
      </c>
      <c r="D96" s="308" t="str">
        <f>ROUND(IFERROR(D95/D91,0),2)&amp;" times"</f>
        <v>0 times</v>
      </c>
    </row>
    <row r="97" spans="1:4" x14ac:dyDescent="0.3">
      <c r="A97" s="304" t="s">
        <v>555</v>
      </c>
      <c r="B97" s="308">
        <f>IFERROR(ROUNDUP(B81/B83,2)&amp;" Times",0)</f>
        <v>0</v>
      </c>
      <c r="C97" s="308">
        <f>IFERROR(ROUNDUP(C81/C83,2)&amp;" Times",0)</f>
        <v>0</v>
      </c>
      <c r="D97" s="308">
        <f>IFERROR(ROUNDUP(D81/D83,2)&amp;" Times",0)</f>
        <v>0</v>
      </c>
    </row>
    <row r="1048560" hidden="1" x14ac:dyDescent="0.3"/>
  </sheetData>
  <mergeCells count="26">
    <mergeCell ref="G76:K76"/>
    <mergeCell ref="G59:K63"/>
    <mergeCell ref="G64:K64"/>
    <mergeCell ref="G65:K71"/>
    <mergeCell ref="G72:K72"/>
    <mergeCell ref="G73:K75"/>
    <mergeCell ref="G38:K38"/>
    <mergeCell ref="G39:K47"/>
    <mergeCell ref="G48:K48"/>
    <mergeCell ref="G49:K53"/>
    <mergeCell ref="G54:K58"/>
    <mergeCell ref="G18:K20"/>
    <mergeCell ref="G23:K28"/>
    <mergeCell ref="G29:K31"/>
    <mergeCell ref="E30:F30"/>
    <mergeCell ref="G32:K37"/>
    <mergeCell ref="G7:K7"/>
    <mergeCell ref="G8:K10"/>
    <mergeCell ref="G11:K11"/>
    <mergeCell ref="G12:K16"/>
    <mergeCell ref="G17:K17"/>
    <mergeCell ref="A1:F1"/>
    <mergeCell ref="B2:F2"/>
    <mergeCell ref="E3:F3"/>
    <mergeCell ref="G3:K3"/>
    <mergeCell ref="G4:K6"/>
  </mergeCells>
  <dataValidations count="1">
    <dataValidation type="list" showInputMessage="1" showErrorMessage="1" sqref="B3:D3" xr:uid="{00000000-0002-0000-0E00-000000000000}">
      <formula1>"Audited,Unaudited,Provisional"</formula1>
      <formula2>0</formula2>
    </dataValidation>
  </dataValidations>
  <pageMargins left="0.2" right="0.2" top="0.2" bottom="0.2" header="0.511811023622047" footer="0.1"/>
  <pageSetup scale="49" orientation="portrait" horizontalDpi="300" verticalDpi="300"/>
  <headerFooter>
    <oddFooter>&amp;C&amp;F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C55A11"/>
  </sheetPr>
  <dimension ref="A1:AMJ1048560"/>
  <sheetViews>
    <sheetView zoomScaleNormal="100" workbookViewId="0">
      <pane ySplit="3" topLeftCell="A4" activePane="bottomLeft" state="frozen"/>
      <selection pane="bottomLeft" activeCell="B4" sqref="B4"/>
    </sheetView>
  </sheetViews>
  <sheetFormatPr defaultColWidth="9.109375" defaultRowHeight="14.4" x14ac:dyDescent="0.3"/>
  <cols>
    <col min="1" max="1" width="56.109375" style="271" customWidth="1"/>
    <col min="2" max="2" width="18" style="272" customWidth="1"/>
    <col min="3" max="4" width="15.88671875" style="272" customWidth="1"/>
    <col min="5" max="5" width="12.109375" style="271" customWidth="1"/>
    <col min="6" max="6" width="13.44140625" style="271" customWidth="1"/>
    <col min="7" max="7" width="24.33203125" style="271" customWidth="1"/>
    <col min="8" max="8" width="15.33203125" style="271" customWidth="1"/>
    <col min="9" max="1024" width="9.109375" style="271"/>
    <col min="1025" max="16384" width="9.109375" style="273"/>
  </cols>
  <sheetData>
    <row r="1" spans="1:11" s="274" customFormat="1" ht="18.75" customHeight="1" x14ac:dyDescent="0.3">
      <c r="A1" s="408" t="s">
        <v>466</v>
      </c>
      <c r="B1" s="408"/>
      <c r="C1" s="408"/>
      <c r="D1" s="408"/>
      <c r="E1" s="408"/>
      <c r="F1" s="408"/>
    </row>
    <row r="2" spans="1:11" ht="18.75" customHeight="1" x14ac:dyDescent="0.3">
      <c r="A2" s="275" t="s">
        <v>467</v>
      </c>
      <c r="B2" s="421"/>
      <c r="C2" s="421"/>
      <c r="D2" s="421"/>
      <c r="E2" s="421"/>
      <c r="F2" s="421"/>
    </row>
    <row r="3" spans="1:11" ht="15" customHeight="1" x14ac:dyDescent="0.3">
      <c r="A3" s="276" t="s">
        <v>398</v>
      </c>
      <c r="B3" s="309" t="s">
        <v>569</v>
      </c>
      <c r="C3" s="309" t="s">
        <v>556</v>
      </c>
      <c r="D3" s="309" t="s">
        <v>556</v>
      </c>
      <c r="E3" s="410" t="s">
        <v>469</v>
      </c>
      <c r="F3" s="410"/>
      <c r="G3" s="422" t="s">
        <v>557</v>
      </c>
      <c r="H3" s="422"/>
      <c r="I3" s="422"/>
      <c r="J3" s="422"/>
      <c r="K3" s="422"/>
    </row>
    <row r="4" spans="1:11" x14ac:dyDescent="0.3">
      <c r="A4" s="278" t="s">
        <v>470</v>
      </c>
      <c r="B4" s="310">
        <v>45382</v>
      </c>
      <c r="C4" s="310">
        <v>45747</v>
      </c>
      <c r="D4" s="310">
        <v>46112</v>
      </c>
      <c r="E4" s="280">
        <f>C4</f>
        <v>45747</v>
      </c>
      <c r="F4" s="280">
        <f>D4</f>
        <v>46112</v>
      </c>
      <c r="G4" s="423" t="s">
        <v>570</v>
      </c>
      <c r="H4" s="423"/>
      <c r="I4" s="423"/>
      <c r="J4" s="423"/>
      <c r="K4" s="423"/>
    </row>
    <row r="5" spans="1:11" x14ac:dyDescent="0.3">
      <c r="A5" s="281" t="s">
        <v>471</v>
      </c>
      <c r="B5" s="311"/>
      <c r="C5" s="311"/>
      <c r="D5" s="311"/>
      <c r="E5" s="283" t="str">
        <f t="shared" ref="E5:E28" si="0">IF(B5=0,"",(C5-B5)/B5)</f>
        <v/>
      </c>
      <c r="F5" s="283" t="str">
        <f t="shared" ref="F5:F28" si="1">IF(C5=0,"",(D5-C5)/C5)</f>
        <v/>
      </c>
      <c r="G5" s="423"/>
      <c r="H5" s="423"/>
      <c r="I5" s="423"/>
      <c r="J5" s="423"/>
      <c r="K5" s="423"/>
    </row>
    <row r="6" spans="1:11" x14ac:dyDescent="0.3">
      <c r="A6" s="284" t="s">
        <v>472</v>
      </c>
      <c r="B6" s="311"/>
      <c r="C6" s="311"/>
      <c r="D6" s="311"/>
      <c r="E6" s="283" t="str">
        <f t="shared" si="0"/>
        <v/>
      </c>
      <c r="F6" s="283" t="str">
        <f t="shared" si="1"/>
        <v/>
      </c>
      <c r="G6" s="423"/>
      <c r="H6" s="423"/>
      <c r="I6" s="423"/>
      <c r="J6" s="423"/>
      <c r="K6" s="423"/>
    </row>
    <row r="7" spans="1:11" x14ac:dyDescent="0.3">
      <c r="A7" s="285" t="s">
        <v>473</v>
      </c>
      <c r="B7" s="286">
        <f>B5+B6</f>
        <v>0</v>
      </c>
      <c r="C7" s="286">
        <f>C5+C6</f>
        <v>0</v>
      </c>
      <c r="D7" s="286">
        <f>D5+D6</f>
        <v>0</v>
      </c>
      <c r="E7" s="283" t="str">
        <f t="shared" si="0"/>
        <v/>
      </c>
      <c r="F7" s="283" t="str">
        <f t="shared" si="1"/>
        <v/>
      </c>
      <c r="G7" s="415"/>
      <c r="H7" s="415"/>
      <c r="I7" s="415"/>
      <c r="J7" s="415"/>
      <c r="K7" s="415"/>
    </row>
    <row r="8" spans="1:11" x14ac:dyDescent="0.3">
      <c r="A8" s="281" t="s">
        <v>474</v>
      </c>
      <c r="B8" s="311"/>
      <c r="C8" s="311"/>
      <c r="D8" s="311"/>
      <c r="E8" s="283" t="str">
        <f t="shared" si="0"/>
        <v/>
      </c>
      <c r="F8" s="283" t="str">
        <f t="shared" si="1"/>
        <v/>
      </c>
      <c r="G8" s="423" t="s">
        <v>559</v>
      </c>
      <c r="H8" s="423"/>
      <c r="I8" s="423"/>
      <c r="J8" s="423"/>
      <c r="K8" s="423"/>
    </row>
    <row r="9" spans="1:11" x14ac:dyDescent="0.3">
      <c r="A9" s="285" t="s">
        <v>475</v>
      </c>
      <c r="B9" s="286">
        <f>SUM(B8:B8)</f>
        <v>0</v>
      </c>
      <c r="C9" s="286">
        <f>SUM(C8:C8)</f>
        <v>0</v>
      </c>
      <c r="D9" s="286">
        <f>SUM(D8:D8)</f>
        <v>0</v>
      </c>
      <c r="E9" s="283" t="str">
        <f t="shared" si="0"/>
        <v/>
      </c>
      <c r="F9" s="283" t="str">
        <f t="shared" si="1"/>
        <v/>
      </c>
      <c r="G9" s="423"/>
      <c r="H9" s="423"/>
      <c r="I9" s="423"/>
      <c r="J9" s="423"/>
      <c r="K9" s="423"/>
    </row>
    <row r="10" spans="1:11" x14ac:dyDescent="0.3">
      <c r="A10" s="285" t="s">
        <v>476</v>
      </c>
      <c r="B10" s="286">
        <f>B7+B9</f>
        <v>0</v>
      </c>
      <c r="C10" s="286">
        <f>C7+C9</f>
        <v>0</v>
      </c>
      <c r="D10" s="286">
        <f>D7+D9</f>
        <v>0</v>
      </c>
      <c r="E10" s="283" t="str">
        <f t="shared" si="0"/>
        <v/>
      </c>
      <c r="F10" s="283" t="str">
        <f t="shared" si="1"/>
        <v/>
      </c>
      <c r="G10" s="423"/>
      <c r="H10" s="423"/>
      <c r="I10" s="423"/>
      <c r="J10" s="423"/>
      <c r="K10" s="423"/>
    </row>
    <row r="11" spans="1:11" s="288" customFormat="1" x14ac:dyDescent="0.3">
      <c r="A11" s="287" t="s">
        <v>355</v>
      </c>
      <c r="B11" s="311"/>
      <c r="C11" s="311"/>
      <c r="D11" s="311"/>
      <c r="E11" s="283" t="str">
        <f t="shared" si="0"/>
        <v/>
      </c>
      <c r="F11" s="283" t="str">
        <f t="shared" si="1"/>
        <v/>
      </c>
      <c r="G11" s="415"/>
      <c r="H11" s="415"/>
      <c r="I11" s="415"/>
      <c r="J11" s="415"/>
      <c r="K11" s="415"/>
    </row>
    <row r="12" spans="1:11" x14ac:dyDescent="0.3">
      <c r="A12" s="281" t="s">
        <v>477</v>
      </c>
      <c r="B12" s="311"/>
      <c r="C12" s="311"/>
      <c r="D12" s="311"/>
      <c r="E12" s="283" t="str">
        <f t="shared" si="0"/>
        <v/>
      </c>
      <c r="F12" s="283" t="str">
        <f t="shared" si="1"/>
        <v/>
      </c>
      <c r="G12" s="424" t="s">
        <v>560</v>
      </c>
      <c r="H12" s="424"/>
      <c r="I12" s="424"/>
      <c r="J12" s="424"/>
      <c r="K12" s="424"/>
    </row>
    <row r="13" spans="1:11" x14ac:dyDescent="0.3">
      <c r="A13" s="281" t="s">
        <v>478</v>
      </c>
      <c r="B13" s="311"/>
      <c r="C13" s="311"/>
      <c r="D13" s="311"/>
      <c r="E13" s="283" t="str">
        <f t="shared" si="0"/>
        <v/>
      </c>
      <c r="F13" s="283" t="str">
        <f t="shared" si="1"/>
        <v/>
      </c>
      <c r="G13" s="424"/>
      <c r="H13" s="424"/>
      <c r="I13" s="424"/>
      <c r="J13" s="424"/>
      <c r="K13" s="424"/>
    </row>
    <row r="14" spans="1:11" x14ac:dyDescent="0.3">
      <c r="A14" s="281" t="s">
        <v>479</v>
      </c>
      <c r="B14" s="311"/>
      <c r="C14" s="311"/>
      <c r="D14" s="311"/>
      <c r="E14" s="283" t="str">
        <f t="shared" si="0"/>
        <v/>
      </c>
      <c r="F14" s="283" t="str">
        <f t="shared" si="1"/>
        <v/>
      </c>
      <c r="G14" s="424"/>
      <c r="H14" s="424"/>
      <c r="I14" s="424"/>
      <c r="J14" s="424"/>
      <c r="K14" s="424"/>
    </row>
    <row r="15" spans="1:11" x14ac:dyDescent="0.3">
      <c r="A15" s="281" t="s">
        <v>480</v>
      </c>
      <c r="B15" s="311"/>
      <c r="C15" s="311"/>
      <c r="D15" s="311"/>
      <c r="E15" s="283" t="str">
        <f t="shared" si="0"/>
        <v/>
      </c>
      <c r="F15" s="283" t="str">
        <f t="shared" si="1"/>
        <v/>
      </c>
      <c r="G15" s="424"/>
      <c r="H15" s="424"/>
      <c r="I15" s="424"/>
      <c r="J15" s="424"/>
      <c r="K15" s="424"/>
    </row>
    <row r="16" spans="1:11" x14ac:dyDescent="0.3">
      <c r="A16" s="281" t="s">
        <v>481</v>
      </c>
      <c r="B16" s="311"/>
      <c r="C16" s="311"/>
      <c r="D16" s="311"/>
      <c r="E16" s="283" t="str">
        <f t="shared" si="0"/>
        <v/>
      </c>
      <c r="F16" s="283" t="str">
        <f t="shared" si="1"/>
        <v/>
      </c>
      <c r="G16" s="424"/>
      <c r="H16" s="424"/>
      <c r="I16" s="424"/>
      <c r="J16" s="424"/>
      <c r="K16" s="424"/>
    </row>
    <row r="17" spans="1:11" x14ac:dyDescent="0.3">
      <c r="A17" s="285" t="s">
        <v>482</v>
      </c>
      <c r="B17" s="286">
        <f>B7-SUM(B11:B16)</f>
        <v>0</v>
      </c>
      <c r="C17" s="286">
        <f>C7-SUM(C11:C16)</f>
        <v>0</v>
      </c>
      <c r="D17" s="286">
        <f>D7-SUM(D11:D16)</f>
        <v>0</v>
      </c>
      <c r="E17" s="283" t="str">
        <f t="shared" si="0"/>
        <v/>
      </c>
      <c r="F17" s="283" t="str">
        <f t="shared" si="1"/>
        <v/>
      </c>
      <c r="G17" s="415"/>
      <c r="H17" s="415"/>
      <c r="I17" s="415"/>
      <c r="J17" s="415"/>
      <c r="K17" s="415"/>
    </row>
    <row r="18" spans="1:11" x14ac:dyDescent="0.3">
      <c r="A18" s="281" t="s">
        <v>483</v>
      </c>
      <c r="B18" s="311"/>
      <c r="C18" s="311"/>
      <c r="D18" s="311"/>
      <c r="E18" s="283" t="str">
        <f t="shared" si="0"/>
        <v/>
      </c>
      <c r="F18" s="283" t="str">
        <f t="shared" si="1"/>
        <v/>
      </c>
      <c r="G18" s="423" t="s">
        <v>561</v>
      </c>
      <c r="H18" s="423"/>
      <c r="I18" s="423"/>
      <c r="J18" s="423"/>
      <c r="K18" s="423"/>
    </row>
    <row r="19" spans="1:11" x14ac:dyDescent="0.3">
      <c r="A19" s="281" t="s">
        <v>484</v>
      </c>
      <c r="B19" s="311"/>
      <c r="C19" s="311"/>
      <c r="D19" s="311"/>
      <c r="E19" s="283" t="str">
        <f t="shared" si="0"/>
        <v/>
      </c>
      <c r="F19" s="283" t="str">
        <f t="shared" si="1"/>
        <v/>
      </c>
      <c r="G19" s="423"/>
      <c r="H19" s="423"/>
      <c r="I19" s="423"/>
      <c r="J19" s="423"/>
      <c r="K19" s="423"/>
    </row>
    <row r="20" spans="1:11" x14ac:dyDescent="0.3">
      <c r="A20" s="281" t="s">
        <v>485</v>
      </c>
      <c r="B20" s="311"/>
      <c r="C20" s="311"/>
      <c r="D20" s="311"/>
      <c r="E20" s="283" t="str">
        <f t="shared" si="0"/>
        <v/>
      </c>
      <c r="F20" s="283" t="str">
        <f t="shared" si="1"/>
        <v/>
      </c>
      <c r="G20" s="423"/>
      <c r="H20" s="423"/>
      <c r="I20" s="423"/>
      <c r="J20" s="423"/>
      <c r="K20" s="423"/>
    </row>
    <row r="21" spans="1:11" x14ac:dyDescent="0.3">
      <c r="A21" s="281" t="s">
        <v>299</v>
      </c>
      <c r="B21" s="311"/>
      <c r="C21" s="311"/>
      <c r="D21" s="311"/>
      <c r="E21" s="283" t="str">
        <f t="shared" si="0"/>
        <v/>
      </c>
      <c r="F21" s="283" t="str">
        <f t="shared" si="1"/>
        <v/>
      </c>
      <c r="G21" s="312"/>
      <c r="H21" s="313"/>
      <c r="I21" s="313"/>
      <c r="J21" s="313"/>
      <c r="K21" s="314"/>
    </row>
    <row r="22" spans="1:11" x14ac:dyDescent="0.3">
      <c r="A22" s="281" t="s">
        <v>486</v>
      </c>
      <c r="B22" s="311"/>
      <c r="C22" s="311"/>
      <c r="D22" s="311"/>
      <c r="E22" s="283" t="str">
        <f t="shared" si="0"/>
        <v/>
      </c>
      <c r="F22" s="283" t="str">
        <f t="shared" si="1"/>
        <v/>
      </c>
      <c r="G22" s="315"/>
      <c r="H22" s="316"/>
      <c r="I22" s="316"/>
      <c r="J22" s="316"/>
      <c r="K22" s="317"/>
    </row>
    <row r="23" spans="1:11" x14ac:dyDescent="0.3">
      <c r="A23" s="285" t="s">
        <v>487</v>
      </c>
      <c r="B23" s="286">
        <f>B17-SUM(B18:B22)</f>
        <v>0</v>
      </c>
      <c r="C23" s="286">
        <f>C17-SUM(C18:C22)</f>
        <v>0</v>
      </c>
      <c r="D23" s="286">
        <f>D17-SUM(D18:D22)</f>
        <v>0</v>
      </c>
      <c r="E23" s="283" t="str">
        <f t="shared" si="0"/>
        <v/>
      </c>
      <c r="F23" s="283" t="str">
        <f t="shared" si="1"/>
        <v/>
      </c>
      <c r="G23" s="425" t="s">
        <v>562</v>
      </c>
      <c r="H23" s="425"/>
      <c r="I23" s="425"/>
      <c r="J23" s="425"/>
      <c r="K23" s="425"/>
    </row>
    <row r="24" spans="1:11" x14ac:dyDescent="0.3">
      <c r="A24" s="285" t="s">
        <v>488</v>
      </c>
      <c r="B24" s="289">
        <f>B23+B9</f>
        <v>0</v>
      </c>
      <c r="C24" s="289">
        <f>C23+C9</f>
        <v>0</v>
      </c>
      <c r="D24" s="289">
        <f>D23+D9</f>
        <v>0</v>
      </c>
      <c r="E24" s="283" t="str">
        <f t="shared" si="0"/>
        <v/>
      </c>
      <c r="F24" s="283" t="str">
        <f t="shared" si="1"/>
        <v/>
      </c>
      <c r="G24" s="425"/>
      <c r="H24" s="425"/>
      <c r="I24" s="425"/>
      <c r="J24" s="425"/>
      <c r="K24" s="425"/>
    </row>
    <row r="25" spans="1:11" x14ac:dyDescent="0.3">
      <c r="A25" s="281" t="s">
        <v>489</v>
      </c>
      <c r="B25" s="311"/>
      <c r="C25" s="311"/>
      <c r="D25" s="311"/>
      <c r="E25" s="283" t="str">
        <f t="shared" si="0"/>
        <v/>
      </c>
      <c r="F25" s="283" t="str">
        <f t="shared" si="1"/>
        <v/>
      </c>
      <c r="G25" s="425"/>
      <c r="H25" s="425"/>
      <c r="I25" s="425"/>
      <c r="J25" s="425"/>
      <c r="K25" s="425"/>
    </row>
    <row r="26" spans="1:11" x14ac:dyDescent="0.3">
      <c r="A26" s="285" t="s">
        <v>490</v>
      </c>
      <c r="B26" s="286">
        <f>B24-B25</f>
        <v>0</v>
      </c>
      <c r="C26" s="286">
        <f>C24-C25</f>
        <v>0</v>
      </c>
      <c r="D26" s="286">
        <f>D24-D25</f>
        <v>0</v>
      </c>
      <c r="E26" s="283" t="str">
        <f t="shared" si="0"/>
        <v/>
      </c>
      <c r="F26" s="283" t="str">
        <f t="shared" si="1"/>
        <v/>
      </c>
      <c r="G26" s="425"/>
      <c r="H26" s="425"/>
      <c r="I26" s="425"/>
      <c r="J26" s="425"/>
      <c r="K26" s="425"/>
    </row>
    <row r="27" spans="1:11" x14ac:dyDescent="0.3">
      <c r="A27" s="285" t="s">
        <v>491</v>
      </c>
      <c r="B27" s="286">
        <f>B23-B25</f>
        <v>0</v>
      </c>
      <c r="C27" s="286">
        <f>C23-C25</f>
        <v>0</v>
      </c>
      <c r="D27" s="286">
        <f>D23-D25</f>
        <v>0</v>
      </c>
      <c r="E27" s="283" t="str">
        <f t="shared" si="0"/>
        <v/>
      </c>
      <c r="F27" s="283" t="str">
        <f t="shared" si="1"/>
        <v/>
      </c>
      <c r="G27" s="425"/>
      <c r="H27" s="425"/>
      <c r="I27" s="425"/>
      <c r="J27" s="425"/>
      <c r="K27" s="425"/>
    </row>
    <row r="28" spans="1:11" x14ac:dyDescent="0.3">
      <c r="A28" s="285" t="s">
        <v>492</v>
      </c>
      <c r="B28" s="286">
        <f>B27+B22+B21</f>
        <v>0</v>
      </c>
      <c r="C28" s="286">
        <f>C27+C22+C21</f>
        <v>0</v>
      </c>
      <c r="D28" s="286">
        <f>D27+D22+D21</f>
        <v>0</v>
      </c>
      <c r="E28" s="283" t="str">
        <f t="shared" si="0"/>
        <v/>
      </c>
      <c r="F28" s="283" t="str">
        <f t="shared" si="1"/>
        <v/>
      </c>
      <c r="G28" s="425"/>
      <c r="H28" s="425"/>
      <c r="I28" s="425"/>
      <c r="J28" s="425"/>
      <c r="K28" s="425"/>
    </row>
    <row r="29" spans="1:11" x14ac:dyDescent="0.3">
      <c r="A29" s="290"/>
      <c r="B29" s="291"/>
      <c r="C29" s="291"/>
      <c r="D29" s="291"/>
      <c r="E29" s="292" t="str">
        <f>IF(B29=0,"",(C29-B29)/B29)</f>
        <v/>
      </c>
      <c r="F29" s="292"/>
      <c r="G29" s="415"/>
      <c r="H29" s="415"/>
      <c r="I29" s="415"/>
      <c r="J29" s="415"/>
      <c r="K29" s="415"/>
    </row>
    <row r="30" spans="1:11" s="274" customFormat="1" x14ac:dyDescent="0.3">
      <c r="A30" s="278" t="s">
        <v>493</v>
      </c>
      <c r="B30" s="293">
        <f>B4</f>
        <v>45382</v>
      </c>
      <c r="C30" s="293">
        <f>C4</f>
        <v>45747</v>
      </c>
      <c r="D30" s="293">
        <f>D4</f>
        <v>46112</v>
      </c>
      <c r="E30" s="411" t="s">
        <v>469</v>
      </c>
      <c r="F30" s="411"/>
      <c r="G30" s="415"/>
      <c r="H30" s="415"/>
      <c r="I30" s="415"/>
      <c r="J30" s="415"/>
      <c r="K30" s="415"/>
    </row>
    <row r="31" spans="1:11" x14ac:dyDescent="0.3">
      <c r="A31" s="278" t="s">
        <v>494</v>
      </c>
      <c r="B31" s="294"/>
      <c r="C31" s="294"/>
      <c r="D31" s="294"/>
      <c r="E31" s="295">
        <f>E4</f>
        <v>45747</v>
      </c>
      <c r="F31" s="295">
        <f>F4</f>
        <v>46112</v>
      </c>
      <c r="G31" s="415"/>
      <c r="H31" s="415"/>
      <c r="I31" s="415"/>
      <c r="J31" s="415"/>
      <c r="K31" s="415"/>
    </row>
    <row r="32" spans="1:11" x14ac:dyDescent="0.3">
      <c r="A32" s="281" t="s">
        <v>495</v>
      </c>
      <c r="B32" s="311"/>
      <c r="C32" s="311"/>
      <c r="D32" s="311"/>
      <c r="E32" s="283" t="str">
        <f t="shared" ref="E32:E76" si="2">IF(B32=0,"",(C32-B32)/B32)</f>
        <v/>
      </c>
      <c r="F32" s="283" t="str">
        <f t="shared" ref="F32:F76" si="3">IF(C32=0,"",(D32-C32)/C32)</f>
        <v/>
      </c>
      <c r="G32" s="423" t="s">
        <v>563</v>
      </c>
      <c r="H32" s="423"/>
      <c r="I32" s="423"/>
      <c r="J32" s="423"/>
      <c r="K32" s="423"/>
    </row>
    <row r="33" spans="1:11" x14ac:dyDescent="0.3">
      <c r="A33" s="281" t="s">
        <v>496</v>
      </c>
      <c r="B33" s="311"/>
      <c r="C33" s="311"/>
      <c r="D33" s="311"/>
      <c r="E33" s="283" t="str">
        <f t="shared" si="2"/>
        <v/>
      </c>
      <c r="F33" s="283" t="str">
        <f t="shared" si="3"/>
        <v/>
      </c>
      <c r="G33" s="423"/>
      <c r="H33" s="423"/>
      <c r="I33" s="423"/>
      <c r="J33" s="423"/>
      <c r="K33" s="423"/>
    </row>
    <row r="34" spans="1:11" x14ac:dyDescent="0.3">
      <c r="A34" s="285" t="s">
        <v>497</v>
      </c>
      <c r="B34" s="286">
        <f>B32+B33</f>
        <v>0</v>
      </c>
      <c r="C34" s="286">
        <f>C32+C33</f>
        <v>0</v>
      </c>
      <c r="D34" s="286">
        <f>D32+D33</f>
        <v>0</v>
      </c>
      <c r="E34" s="283" t="str">
        <f t="shared" si="2"/>
        <v/>
      </c>
      <c r="F34" s="283" t="str">
        <f t="shared" si="3"/>
        <v/>
      </c>
      <c r="G34" s="423"/>
      <c r="H34" s="423"/>
      <c r="I34" s="423"/>
      <c r="J34" s="423"/>
      <c r="K34" s="423"/>
    </row>
    <row r="35" spans="1:11" x14ac:dyDescent="0.3">
      <c r="A35" s="281" t="s">
        <v>498</v>
      </c>
      <c r="B35" s="311"/>
      <c r="C35" s="311"/>
      <c r="D35" s="311"/>
      <c r="E35" s="283" t="str">
        <f t="shared" si="2"/>
        <v/>
      </c>
      <c r="F35" s="283" t="str">
        <f t="shared" si="3"/>
        <v/>
      </c>
      <c r="G35" s="423"/>
      <c r="H35" s="423"/>
      <c r="I35" s="423"/>
      <c r="J35" s="423"/>
      <c r="K35" s="423"/>
    </row>
    <row r="36" spans="1:11" x14ac:dyDescent="0.3">
      <c r="A36" s="285" t="s">
        <v>499</v>
      </c>
      <c r="B36" s="286">
        <f>B34+B35</f>
        <v>0</v>
      </c>
      <c r="C36" s="286">
        <f>C34+C35</f>
        <v>0</v>
      </c>
      <c r="D36" s="286">
        <f>D34+D35</f>
        <v>0</v>
      </c>
      <c r="E36" s="283" t="str">
        <f t="shared" si="2"/>
        <v/>
      </c>
      <c r="F36" s="283" t="str">
        <f t="shared" si="3"/>
        <v/>
      </c>
      <c r="G36" s="423"/>
      <c r="H36" s="423"/>
      <c r="I36" s="423"/>
      <c r="J36" s="423"/>
      <c r="K36" s="423"/>
    </row>
    <row r="37" spans="1:11" x14ac:dyDescent="0.3">
      <c r="A37" s="281" t="s">
        <v>500</v>
      </c>
      <c r="B37" s="311">
        <v>0</v>
      </c>
      <c r="C37" s="311"/>
      <c r="D37" s="311">
        <v>0</v>
      </c>
      <c r="E37" s="283" t="str">
        <f t="shared" si="2"/>
        <v/>
      </c>
      <c r="F37" s="283" t="str">
        <f t="shared" si="3"/>
        <v/>
      </c>
      <c r="G37" s="423"/>
      <c r="H37" s="423"/>
      <c r="I37" s="423"/>
      <c r="J37" s="423"/>
      <c r="K37" s="423"/>
    </row>
    <row r="38" spans="1:11" x14ac:dyDescent="0.3">
      <c r="A38" s="285" t="s">
        <v>501</v>
      </c>
      <c r="B38" s="286">
        <f>B36-B74-B62</f>
        <v>0</v>
      </c>
      <c r="C38" s="286">
        <f>C36-C74-C62</f>
        <v>0</v>
      </c>
      <c r="D38" s="286">
        <f>D36-D74-D62</f>
        <v>0</v>
      </c>
      <c r="E38" s="283" t="str">
        <f t="shared" si="2"/>
        <v/>
      </c>
      <c r="F38" s="283" t="str">
        <f t="shared" si="3"/>
        <v/>
      </c>
      <c r="G38" s="415"/>
      <c r="H38" s="415"/>
      <c r="I38" s="415"/>
      <c r="J38" s="415"/>
      <c r="K38" s="415"/>
    </row>
    <row r="39" spans="1:11" x14ac:dyDescent="0.3">
      <c r="A39" s="296" t="s">
        <v>502</v>
      </c>
      <c r="B39" s="311"/>
      <c r="C39" s="311"/>
      <c r="D39" s="311"/>
      <c r="E39" s="283" t="str">
        <f t="shared" si="2"/>
        <v/>
      </c>
      <c r="F39" s="283" t="str">
        <f t="shared" si="3"/>
        <v/>
      </c>
      <c r="G39" s="423" t="s">
        <v>564</v>
      </c>
      <c r="H39" s="423"/>
      <c r="I39" s="423"/>
      <c r="J39" s="423"/>
      <c r="K39" s="423"/>
    </row>
    <row r="40" spans="1:11" x14ac:dyDescent="0.3">
      <c r="A40" s="281" t="s">
        <v>503</v>
      </c>
      <c r="B40" s="311"/>
      <c r="C40" s="311"/>
      <c r="D40" s="311"/>
      <c r="E40" s="283" t="str">
        <f t="shared" si="2"/>
        <v/>
      </c>
      <c r="F40" s="283" t="str">
        <f t="shared" si="3"/>
        <v/>
      </c>
      <c r="G40" s="423"/>
      <c r="H40" s="423"/>
      <c r="I40" s="423"/>
      <c r="J40" s="423"/>
      <c r="K40" s="423"/>
    </row>
    <row r="41" spans="1:11" x14ac:dyDescent="0.3">
      <c r="A41" s="281" t="s">
        <v>504</v>
      </c>
      <c r="B41" s="311"/>
      <c r="C41" s="311"/>
      <c r="D41" s="311"/>
      <c r="E41" s="283" t="str">
        <f t="shared" si="2"/>
        <v/>
      </c>
      <c r="F41" s="283" t="str">
        <f t="shared" si="3"/>
        <v/>
      </c>
      <c r="G41" s="423"/>
      <c r="H41" s="423"/>
      <c r="I41" s="423"/>
      <c r="J41" s="423"/>
      <c r="K41" s="423"/>
    </row>
    <row r="42" spans="1:11" x14ac:dyDescent="0.3">
      <c r="A42" s="285" t="s">
        <v>505</v>
      </c>
      <c r="B42" s="286">
        <f>B40+B41</f>
        <v>0</v>
      </c>
      <c r="C42" s="286">
        <f>C40+C41</f>
        <v>0</v>
      </c>
      <c r="D42" s="286">
        <f>D40+D41</f>
        <v>0</v>
      </c>
      <c r="E42" s="283" t="str">
        <f t="shared" si="2"/>
        <v/>
      </c>
      <c r="F42" s="283" t="str">
        <f t="shared" si="3"/>
        <v/>
      </c>
      <c r="G42" s="423"/>
      <c r="H42" s="423"/>
      <c r="I42" s="423"/>
      <c r="J42" s="423"/>
      <c r="K42" s="423"/>
    </row>
    <row r="43" spans="1:11" x14ac:dyDescent="0.3">
      <c r="A43" s="281" t="s">
        <v>506</v>
      </c>
      <c r="B43" s="311"/>
      <c r="C43" s="311"/>
      <c r="D43" s="311"/>
      <c r="E43" s="283" t="str">
        <f t="shared" si="2"/>
        <v/>
      </c>
      <c r="F43" s="283" t="str">
        <f t="shared" si="3"/>
        <v/>
      </c>
      <c r="G43" s="423"/>
      <c r="H43" s="423"/>
      <c r="I43" s="423"/>
      <c r="J43" s="423"/>
      <c r="K43" s="423"/>
    </row>
    <row r="44" spans="1:11" x14ac:dyDescent="0.3">
      <c r="A44" s="281" t="s">
        <v>507</v>
      </c>
      <c r="B44" s="311"/>
      <c r="C44" s="311"/>
      <c r="D44" s="311"/>
      <c r="E44" s="283" t="str">
        <f t="shared" si="2"/>
        <v/>
      </c>
      <c r="F44" s="283" t="str">
        <f t="shared" si="3"/>
        <v/>
      </c>
      <c r="G44" s="423"/>
      <c r="H44" s="423"/>
      <c r="I44" s="423"/>
      <c r="J44" s="423"/>
      <c r="K44" s="423"/>
    </row>
    <row r="45" spans="1:11" x14ac:dyDescent="0.3">
      <c r="A45" s="285" t="s">
        <v>508</v>
      </c>
      <c r="B45" s="286">
        <f>SUM(B42:B44)</f>
        <v>0</v>
      </c>
      <c r="C45" s="286">
        <f>SUM(C42:C44)</f>
        <v>0</v>
      </c>
      <c r="D45" s="286">
        <f>SUM(D42:D44)</f>
        <v>0</v>
      </c>
      <c r="E45" s="283" t="str">
        <f t="shared" si="2"/>
        <v/>
      </c>
      <c r="F45" s="283" t="str">
        <f t="shared" si="3"/>
        <v/>
      </c>
      <c r="G45" s="423"/>
      <c r="H45" s="423"/>
      <c r="I45" s="423"/>
      <c r="J45" s="423"/>
      <c r="K45" s="423"/>
    </row>
    <row r="46" spans="1:11" x14ac:dyDescent="0.3">
      <c r="A46" s="281" t="s">
        <v>509</v>
      </c>
      <c r="B46" s="311"/>
      <c r="C46" s="311"/>
      <c r="D46" s="311"/>
      <c r="E46" s="283" t="str">
        <f t="shared" si="2"/>
        <v/>
      </c>
      <c r="F46" s="283" t="str">
        <f t="shared" si="3"/>
        <v/>
      </c>
      <c r="G46" s="423"/>
      <c r="H46" s="423"/>
      <c r="I46" s="423"/>
      <c r="J46" s="423"/>
      <c r="K46" s="423"/>
    </row>
    <row r="47" spans="1:11" x14ac:dyDescent="0.3">
      <c r="A47" s="281" t="s">
        <v>510</v>
      </c>
      <c r="B47" s="311"/>
      <c r="C47" s="311"/>
      <c r="D47" s="311"/>
      <c r="E47" s="283" t="str">
        <f t="shared" si="2"/>
        <v/>
      </c>
      <c r="F47" s="283" t="str">
        <f t="shared" si="3"/>
        <v/>
      </c>
      <c r="G47" s="423"/>
      <c r="H47" s="423"/>
      <c r="I47" s="423"/>
      <c r="J47" s="423"/>
      <c r="K47" s="423"/>
    </row>
    <row r="48" spans="1:11" x14ac:dyDescent="0.3">
      <c r="A48" s="285" t="s">
        <v>511</v>
      </c>
      <c r="B48" s="286">
        <f>B46+B47</f>
        <v>0</v>
      </c>
      <c r="C48" s="286">
        <f>C46+C47</f>
        <v>0</v>
      </c>
      <c r="D48" s="286">
        <f>D46+D47</f>
        <v>0</v>
      </c>
      <c r="E48" s="283" t="str">
        <f t="shared" si="2"/>
        <v/>
      </c>
      <c r="F48" s="283" t="str">
        <f t="shared" si="3"/>
        <v/>
      </c>
      <c r="G48" s="415"/>
      <c r="H48" s="415"/>
      <c r="I48" s="415"/>
      <c r="J48" s="415"/>
      <c r="K48" s="415"/>
    </row>
    <row r="49" spans="1:11" x14ac:dyDescent="0.3">
      <c r="A49" s="281" t="s">
        <v>512</v>
      </c>
      <c r="B49" s="311"/>
      <c r="C49" s="311"/>
      <c r="D49" s="311"/>
      <c r="E49" s="283" t="str">
        <f t="shared" si="2"/>
        <v/>
      </c>
      <c r="F49" s="283" t="str">
        <f t="shared" si="3"/>
        <v/>
      </c>
      <c r="G49" s="423" t="s">
        <v>565</v>
      </c>
      <c r="H49" s="423"/>
      <c r="I49" s="423"/>
      <c r="J49" s="423"/>
      <c r="K49" s="423"/>
    </row>
    <row r="50" spans="1:11" x14ac:dyDescent="0.3">
      <c r="A50" s="281" t="s">
        <v>513</v>
      </c>
      <c r="B50" s="311"/>
      <c r="C50" s="311"/>
      <c r="D50" s="311"/>
      <c r="E50" s="283" t="str">
        <f t="shared" si="2"/>
        <v/>
      </c>
      <c r="F50" s="283" t="str">
        <f t="shared" si="3"/>
        <v/>
      </c>
      <c r="G50" s="423"/>
      <c r="H50" s="423"/>
      <c r="I50" s="423"/>
      <c r="J50" s="423"/>
      <c r="K50" s="423"/>
    </row>
    <row r="51" spans="1:11" x14ac:dyDescent="0.3">
      <c r="A51" s="281" t="s">
        <v>514</v>
      </c>
      <c r="B51" s="311"/>
      <c r="C51" s="311"/>
      <c r="D51" s="311"/>
      <c r="E51" s="283" t="str">
        <f t="shared" si="2"/>
        <v/>
      </c>
      <c r="F51" s="283" t="str">
        <f t="shared" si="3"/>
        <v/>
      </c>
      <c r="G51" s="423"/>
      <c r="H51" s="423"/>
      <c r="I51" s="423"/>
      <c r="J51" s="423"/>
      <c r="K51" s="423"/>
    </row>
    <row r="52" spans="1:11" x14ac:dyDescent="0.3">
      <c r="A52" s="281" t="s">
        <v>515</v>
      </c>
      <c r="B52" s="311"/>
      <c r="C52" s="311"/>
      <c r="D52" s="311"/>
      <c r="E52" s="283" t="str">
        <f t="shared" si="2"/>
        <v/>
      </c>
      <c r="F52" s="283" t="str">
        <f t="shared" si="3"/>
        <v/>
      </c>
      <c r="G52" s="423"/>
      <c r="H52" s="423"/>
      <c r="I52" s="423"/>
      <c r="J52" s="423"/>
      <c r="K52" s="423"/>
    </row>
    <row r="53" spans="1:11" x14ac:dyDescent="0.3">
      <c r="A53" s="281" t="s">
        <v>516</v>
      </c>
      <c r="B53" s="311"/>
      <c r="C53" s="311"/>
      <c r="D53" s="311"/>
      <c r="E53" s="283" t="str">
        <f t="shared" si="2"/>
        <v/>
      </c>
      <c r="F53" s="283" t="str">
        <f t="shared" si="3"/>
        <v/>
      </c>
      <c r="G53" s="423"/>
      <c r="H53" s="423"/>
      <c r="I53" s="423"/>
      <c r="J53" s="423"/>
      <c r="K53" s="423"/>
    </row>
    <row r="54" spans="1:11" x14ac:dyDescent="0.3">
      <c r="A54" s="297" t="s">
        <v>517</v>
      </c>
      <c r="B54" s="298">
        <f>SUM(B49:B53)</f>
        <v>0</v>
      </c>
      <c r="C54" s="298">
        <f>SUM(C49:C53)</f>
        <v>0</v>
      </c>
      <c r="D54" s="298">
        <f>SUM(D49:D53)</f>
        <v>0</v>
      </c>
      <c r="E54" s="283" t="str">
        <f t="shared" si="2"/>
        <v/>
      </c>
      <c r="F54" s="283" t="str">
        <f t="shared" si="3"/>
        <v/>
      </c>
      <c r="G54" s="419"/>
      <c r="H54" s="419"/>
      <c r="I54" s="419"/>
      <c r="J54" s="419"/>
      <c r="K54" s="419"/>
    </row>
    <row r="55" spans="1:11" x14ac:dyDescent="0.3">
      <c r="A55" s="297" t="s">
        <v>518</v>
      </c>
      <c r="B55" s="298">
        <f>B45+B48</f>
        <v>0</v>
      </c>
      <c r="C55" s="298">
        <f>C45+C48</f>
        <v>0</v>
      </c>
      <c r="D55" s="298">
        <f>D45+D48</f>
        <v>0</v>
      </c>
      <c r="E55" s="283" t="str">
        <f t="shared" si="2"/>
        <v/>
      </c>
      <c r="F55" s="283" t="str">
        <f t="shared" si="3"/>
        <v/>
      </c>
      <c r="G55" s="419"/>
      <c r="H55" s="419"/>
      <c r="I55" s="419"/>
      <c r="J55" s="419"/>
      <c r="K55" s="419"/>
    </row>
    <row r="56" spans="1:11" x14ac:dyDescent="0.3">
      <c r="A56" s="297" t="s">
        <v>519</v>
      </c>
      <c r="B56" s="298">
        <f>+B54+B45+B48</f>
        <v>0</v>
      </c>
      <c r="C56" s="298">
        <f>+C54+C45+C48</f>
        <v>0</v>
      </c>
      <c r="D56" s="298">
        <f>+D54+D45+D48</f>
        <v>0</v>
      </c>
      <c r="E56" s="283" t="str">
        <f t="shared" si="2"/>
        <v/>
      </c>
      <c r="F56" s="283" t="str">
        <f t="shared" si="3"/>
        <v/>
      </c>
      <c r="G56" s="419"/>
      <c r="H56" s="419"/>
      <c r="I56" s="419"/>
      <c r="J56" s="419"/>
      <c r="K56" s="419"/>
    </row>
    <row r="57" spans="1:11" x14ac:dyDescent="0.3">
      <c r="A57" s="297" t="s">
        <v>520</v>
      </c>
      <c r="B57" s="298">
        <f>+B34+B56+B35</f>
        <v>0</v>
      </c>
      <c r="C57" s="298">
        <f>+C34+C56+C35</f>
        <v>0</v>
      </c>
      <c r="D57" s="298">
        <f>+D34+D56+D35</f>
        <v>0</v>
      </c>
      <c r="E57" s="283" t="str">
        <f t="shared" si="2"/>
        <v/>
      </c>
      <c r="F57" s="283" t="str">
        <f t="shared" si="3"/>
        <v/>
      </c>
      <c r="G57" s="419"/>
      <c r="H57" s="419"/>
      <c r="I57" s="419"/>
      <c r="J57" s="419"/>
      <c r="K57" s="419"/>
    </row>
    <row r="58" spans="1:11" s="274" customFormat="1" x14ac:dyDescent="0.3">
      <c r="A58" s="278" t="s">
        <v>521</v>
      </c>
      <c r="B58" s="318"/>
      <c r="C58" s="318"/>
      <c r="D58" s="318"/>
      <c r="E58" s="283" t="str">
        <f t="shared" si="2"/>
        <v/>
      </c>
      <c r="F58" s="283" t="str">
        <f t="shared" si="3"/>
        <v/>
      </c>
      <c r="G58" s="419"/>
      <c r="H58" s="419"/>
      <c r="I58" s="419"/>
      <c r="J58" s="419"/>
      <c r="K58" s="419"/>
    </row>
    <row r="59" spans="1:11" ht="15.75" customHeight="1" x14ac:dyDescent="0.3">
      <c r="A59" s="281" t="s">
        <v>522</v>
      </c>
      <c r="B59" s="311"/>
      <c r="C59" s="311"/>
      <c r="D59" s="311"/>
      <c r="E59" s="283" t="str">
        <f t="shared" si="2"/>
        <v/>
      </c>
      <c r="F59" s="283" t="str">
        <f t="shared" si="3"/>
        <v/>
      </c>
      <c r="G59" s="426" t="s">
        <v>566</v>
      </c>
      <c r="H59" s="426"/>
      <c r="I59" s="426"/>
      <c r="J59" s="426"/>
      <c r="K59" s="426"/>
    </row>
    <row r="60" spans="1:11" x14ac:dyDescent="0.3">
      <c r="A60" s="281" t="s">
        <v>523</v>
      </c>
      <c r="B60" s="311"/>
      <c r="C60" s="311"/>
      <c r="D60" s="311"/>
      <c r="E60" s="283" t="str">
        <f t="shared" si="2"/>
        <v/>
      </c>
      <c r="F60" s="283" t="str">
        <f t="shared" si="3"/>
        <v/>
      </c>
      <c r="G60" s="426"/>
      <c r="H60" s="426"/>
      <c r="I60" s="426"/>
      <c r="J60" s="426"/>
      <c r="K60" s="426"/>
    </row>
    <row r="61" spans="1:11" x14ac:dyDescent="0.3">
      <c r="A61" s="285" t="s">
        <v>524</v>
      </c>
      <c r="B61" s="286">
        <f>B59-B60</f>
        <v>0</v>
      </c>
      <c r="C61" s="286">
        <f>C59-C60</f>
        <v>0</v>
      </c>
      <c r="D61" s="286">
        <f>D59-D60</f>
        <v>0</v>
      </c>
      <c r="E61" s="283" t="str">
        <f t="shared" si="2"/>
        <v/>
      </c>
      <c r="F61" s="283" t="str">
        <f t="shared" si="3"/>
        <v/>
      </c>
      <c r="G61" s="426"/>
      <c r="H61" s="426"/>
      <c r="I61" s="426"/>
      <c r="J61" s="426"/>
      <c r="K61" s="426"/>
    </row>
    <row r="62" spans="1:11" x14ac:dyDescent="0.3">
      <c r="A62" s="281" t="s">
        <v>525</v>
      </c>
      <c r="B62" s="311"/>
      <c r="C62" s="311"/>
      <c r="D62" s="311"/>
      <c r="E62" s="283" t="str">
        <f t="shared" si="2"/>
        <v/>
      </c>
      <c r="F62" s="283" t="str">
        <f t="shared" si="3"/>
        <v/>
      </c>
      <c r="G62" s="426"/>
      <c r="H62" s="426"/>
      <c r="I62" s="426"/>
      <c r="J62" s="426"/>
      <c r="K62" s="426"/>
    </row>
    <row r="63" spans="1:11" x14ac:dyDescent="0.3">
      <c r="A63" s="285" t="s">
        <v>526</v>
      </c>
      <c r="B63" s="286">
        <f>+B61+B62</f>
        <v>0</v>
      </c>
      <c r="C63" s="286">
        <f>+C61+C62</f>
        <v>0</v>
      </c>
      <c r="D63" s="286">
        <f>+D61+D62</f>
        <v>0</v>
      </c>
      <c r="E63" s="283" t="str">
        <f t="shared" si="2"/>
        <v/>
      </c>
      <c r="F63" s="283" t="str">
        <f t="shared" si="3"/>
        <v/>
      </c>
      <c r="G63" s="426"/>
      <c r="H63" s="426"/>
      <c r="I63" s="426"/>
      <c r="J63" s="426"/>
      <c r="K63" s="426"/>
    </row>
    <row r="64" spans="1:11" x14ac:dyDescent="0.3">
      <c r="A64" s="285" t="s">
        <v>527</v>
      </c>
      <c r="B64" s="286">
        <f>SUM(B65:B71)</f>
        <v>0</v>
      </c>
      <c r="C64" s="286">
        <f>SUM(C65:C71)</f>
        <v>0</v>
      </c>
      <c r="D64" s="286">
        <f>SUM(D65:D71)</f>
        <v>0</v>
      </c>
      <c r="E64" s="283" t="str">
        <f t="shared" si="2"/>
        <v/>
      </c>
      <c r="F64" s="283" t="str">
        <f t="shared" si="3"/>
        <v/>
      </c>
      <c r="G64" s="415"/>
      <c r="H64" s="415"/>
      <c r="I64" s="415"/>
      <c r="J64" s="415"/>
      <c r="K64" s="415"/>
    </row>
    <row r="65" spans="1:11" x14ac:dyDescent="0.3">
      <c r="A65" s="281" t="s">
        <v>528</v>
      </c>
      <c r="B65" s="311"/>
      <c r="C65" s="311"/>
      <c r="D65" s="311"/>
      <c r="E65" s="283" t="str">
        <f t="shared" si="2"/>
        <v/>
      </c>
      <c r="F65" s="283" t="str">
        <f t="shared" si="3"/>
        <v/>
      </c>
      <c r="G65" s="423" t="s">
        <v>571</v>
      </c>
      <c r="H65" s="423"/>
      <c r="I65" s="423"/>
      <c r="J65" s="423"/>
      <c r="K65" s="423"/>
    </row>
    <row r="66" spans="1:11" x14ac:dyDescent="0.3">
      <c r="A66" s="281" t="s">
        <v>529</v>
      </c>
      <c r="B66" s="311"/>
      <c r="C66" s="311"/>
      <c r="D66" s="311"/>
      <c r="E66" s="283" t="str">
        <f t="shared" si="2"/>
        <v/>
      </c>
      <c r="F66" s="283" t="str">
        <f t="shared" si="3"/>
        <v/>
      </c>
      <c r="G66" s="423"/>
      <c r="H66" s="423"/>
      <c r="I66" s="423"/>
      <c r="J66" s="423"/>
      <c r="K66" s="423"/>
    </row>
    <row r="67" spans="1:11" x14ac:dyDescent="0.3">
      <c r="A67" s="281" t="s">
        <v>530</v>
      </c>
      <c r="B67" s="311"/>
      <c r="C67" s="311"/>
      <c r="D67" s="311"/>
      <c r="E67" s="283" t="str">
        <f t="shared" si="2"/>
        <v/>
      </c>
      <c r="F67" s="283" t="str">
        <f t="shared" si="3"/>
        <v/>
      </c>
      <c r="G67" s="423"/>
      <c r="H67" s="423"/>
      <c r="I67" s="423"/>
      <c r="J67" s="423"/>
      <c r="K67" s="423"/>
    </row>
    <row r="68" spans="1:11" x14ac:dyDescent="0.3">
      <c r="A68" s="281" t="s">
        <v>531</v>
      </c>
      <c r="B68" s="311"/>
      <c r="C68" s="311"/>
      <c r="D68" s="311"/>
      <c r="E68" s="283" t="str">
        <f t="shared" si="2"/>
        <v/>
      </c>
      <c r="F68" s="283" t="str">
        <f t="shared" si="3"/>
        <v/>
      </c>
      <c r="G68" s="423"/>
      <c r="H68" s="423"/>
      <c r="I68" s="423"/>
      <c r="J68" s="423"/>
      <c r="K68" s="423"/>
    </row>
    <row r="69" spans="1:11" x14ac:dyDescent="0.3">
      <c r="A69" s="281" t="s">
        <v>532</v>
      </c>
      <c r="B69" s="311"/>
      <c r="C69" s="311"/>
      <c r="D69" s="311"/>
      <c r="E69" s="283" t="str">
        <f t="shared" si="2"/>
        <v/>
      </c>
      <c r="F69" s="283" t="str">
        <f t="shared" si="3"/>
        <v/>
      </c>
      <c r="G69" s="423"/>
      <c r="H69" s="423"/>
      <c r="I69" s="423"/>
      <c r="J69" s="423"/>
      <c r="K69" s="423"/>
    </row>
    <row r="70" spans="1:11" x14ac:dyDescent="0.3">
      <c r="A70" s="281" t="s">
        <v>533</v>
      </c>
      <c r="B70" s="311"/>
      <c r="C70" s="311"/>
      <c r="D70" s="311"/>
      <c r="E70" s="283" t="str">
        <f t="shared" si="2"/>
        <v/>
      </c>
      <c r="F70" s="283" t="str">
        <f t="shared" si="3"/>
        <v/>
      </c>
      <c r="G70" s="423"/>
      <c r="H70" s="423"/>
      <c r="I70" s="423"/>
      <c r="J70" s="423"/>
      <c r="K70" s="423"/>
    </row>
    <row r="71" spans="1:11" x14ac:dyDescent="0.3">
      <c r="A71" s="281" t="s">
        <v>534</v>
      </c>
      <c r="B71" s="311"/>
      <c r="C71" s="311"/>
      <c r="D71" s="311"/>
      <c r="E71" s="283" t="str">
        <f t="shared" si="2"/>
        <v/>
      </c>
      <c r="F71" s="283" t="str">
        <f t="shared" si="3"/>
        <v/>
      </c>
      <c r="G71" s="423"/>
      <c r="H71" s="423"/>
      <c r="I71" s="423"/>
      <c r="J71" s="423"/>
      <c r="K71" s="423"/>
    </row>
    <row r="72" spans="1:11" x14ac:dyDescent="0.3">
      <c r="A72" s="285" t="s">
        <v>535</v>
      </c>
      <c r="B72" s="286">
        <f>SUM(B73:B75)</f>
        <v>0</v>
      </c>
      <c r="C72" s="286">
        <f>SUM(C73:C75)</f>
        <v>0</v>
      </c>
      <c r="D72" s="286">
        <f>SUM(D73:D75)</f>
        <v>0</v>
      </c>
      <c r="E72" s="283" t="str">
        <f t="shared" si="2"/>
        <v/>
      </c>
      <c r="F72" s="283" t="str">
        <f t="shared" si="3"/>
        <v/>
      </c>
      <c r="G72" s="415"/>
      <c r="H72" s="415"/>
      <c r="I72" s="415"/>
      <c r="J72" s="415"/>
      <c r="K72" s="415"/>
    </row>
    <row r="73" spans="1:11" x14ac:dyDescent="0.3">
      <c r="A73" s="281" t="s">
        <v>536</v>
      </c>
      <c r="B73" s="311"/>
      <c r="C73" s="311"/>
      <c r="D73" s="311"/>
      <c r="E73" s="283" t="str">
        <f t="shared" si="2"/>
        <v/>
      </c>
      <c r="F73" s="283" t="str">
        <f t="shared" si="3"/>
        <v/>
      </c>
      <c r="G73" s="416" t="s">
        <v>568</v>
      </c>
      <c r="H73" s="416"/>
      <c r="I73" s="416"/>
      <c r="J73" s="416"/>
      <c r="K73" s="416"/>
    </row>
    <row r="74" spans="1:11" x14ac:dyDescent="0.3">
      <c r="A74" s="281" t="s">
        <v>537</v>
      </c>
      <c r="B74" s="311"/>
      <c r="C74" s="311"/>
      <c r="D74" s="311"/>
      <c r="E74" s="283" t="str">
        <f t="shared" si="2"/>
        <v/>
      </c>
      <c r="F74" s="283" t="str">
        <f t="shared" si="3"/>
        <v/>
      </c>
      <c r="G74" s="416"/>
      <c r="H74" s="416"/>
      <c r="I74" s="416"/>
      <c r="J74" s="416"/>
      <c r="K74" s="416"/>
    </row>
    <row r="75" spans="1:11" x14ac:dyDescent="0.3">
      <c r="A75" s="281" t="s">
        <v>538</v>
      </c>
      <c r="B75" s="311"/>
      <c r="C75" s="311"/>
      <c r="D75" s="311"/>
      <c r="E75" s="283" t="str">
        <f t="shared" si="2"/>
        <v/>
      </c>
      <c r="F75" s="283" t="str">
        <f t="shared" si="3"/>
        <v/>
      </c>
      <c r="G75" s="416"/>
      <c r="H75" s="416"/>
      <c r="I75" s="416"/>
      <c r="J75" s="416"/>
      <c r="K75" s="416"/>
    </row>
    <row r="76" spans="1:11" x14ac:dyDescent="0.3">
      <c r="A76" s="285" t="s">
        <v>539</v>
      </c>
      <c r="B76" s="286">
        <f>B63+B64+B72</f>
        <v>0</v>
      </c>
      <c r="C76" s="286">
        <f>C63+C64+C72</f>
        <v>0</v>
      </c>
      <c r="D76" s="286">
        <f>D63+D64+D72</f>
        <v>0</v>
      </c>
      <c r="E76" s="283" t="str">
        <f t="shared" si="2"/>
        <v/>
      </c>
      <c r="F76" s="283" t="str">
        <f t="shared" si="3"/>
        <v/>
      </c>
      <c r="G76" s="415"/>
      <c r="H76" s="415"/>
      <c r="I76" s="415"/>
      <c r="J76" s="415"/>
      <c r="K76" s="415"/>
    </row>
    <row r="77" spans="1:11" x14ac:dyDescent="0.3">
      <c r="A77" s="300" t="s">
        <v>540</v>
      </c>
      <c r="B77" s="301">
        <f>B57-B76</f>
        <v>0</v>
      </c>
      <c r="C77" s="301">
        <f>C57-C76</f>
        <v>0</v>
      </c>
      <c r="D77" s="301">
        <f>D57-D76</f>
        <v>0</v>
      </c>
    </row>
    <row r="79" spans="1:11" x14ac:dyDescent="0.3">
      <c r="A79" s="302" t="s">
        <v>541</v>
      </c>
      <c r="B79" s="303">
        <f>B30</f>
        <v>45382</v>
      </c>
      <c r="C79" s="303">
        <f>C30</f>
        <v>45747</v>
      </c>
      <c r="D79" s="303">
        <f>D30</f>
        <v>46112</v>
      </c>
    </row>
    <row r="80" spans="1:11" x14ac:dyDescent="0.3">
      <c r="A80" s="304" t="s">
        <v>542</v>
      </c>
      <c r="B80" s="305">
        <f>B7</f>
        <v>0</v>
      </c>
      <c r="C80" s="305">
        <f>C7</f>
        <v>0</v>
      </c>
      <c r="D80" s="305">
        <f>D7</f>
        <v>0</v>
      </c>
    </row>
    <row r="81" spans="1:4" x14ac:dyDescent="0.3">
      <c r="A81" s="304" t="s">
        <v>482</v>
      </c>
      <c r="B81" s="305">
        <f>B17</f>
        <v>0</v>
      </c>
      <c r="C81" s="305">
        <f>C17</f>
        <v>0</v>
      </c>
      <c r="D81" s="305">
        <f>D17</f>
        <v>0</v>
      </c>
    </row>
    <row r="82" spans="1:4" x14ac:dyDescent="0.3">
      <c r="A82" s="304" t="s">
        <v>543</v>
      </c>
      <c r="B82" s="306">
        <f>IFERROR(B81/B80,0)</f>
        <v>0</v>
      </c>
      <c r="C82" s="306">
        <f>IFERROR(C81/C80,0)</f>
        <v>0</v>
      </c>
      <c r="D82" s="306">
        <f>IFERROR(D81/D80,0)</f>
        <v>0</v>
      </c>
    </row>
    <row r="83" spans="1:4" x14ac:dyDescent="0.3">
      <c r="A83" s="304" t="s">
        <v>544</v>
      </c>
      <c r="B83" s="305">
        <f>SUM(B18:B20)</f>
        <v>0</v>
      </c>
      <c r="C83" s="305">
        <f>SUM(C18:C20)</f>
        <v>0</v>
      </c>
      <c r="D83" s="305">
        <f>SUM(D18:D20)</f>
        <v>0</v>
      </c>
    </row>
    <row r="84" spans="1:4" x14ac:dyDescent="0.3">
      <c r="A84" s="304" t="s">
        <v>299</v>
      </c>
      <c r="B84" s="305">
        <f>B21</f>
        <v>0</v>
      </c>
      <c r="C84" s="305">
        <f>C21</f>
        <v>0</v>
      </c>
      <c r="D84" s="305">
        <f>D21</f>
        <v>0</v>
      </c>
    </row>
    <row r="85" spans="1:4" x14ac:dyDescent="0.3">
      <c r="A85" s="304" t="s">
        <v>545</v>
      </c>
      <c r="B85" s="305">
        <f>B23</f>
        <v>0</v>
      </c>
      <c r="C85" s="305">
        <f>C23</f>
        <v>0</v>
      </c>
      <c r="D85" s="305">
        <f>D23</f>
        <v>0</v>
      </c>
    </row>
    <row r="86" spans="1:4" x14ac:dyDescent="0.3">
      <c r="A86" s="304" t="s">
        <v>546</v>
      </c>
      <c r="B86" s="305">
        <f>B9</f>
        <v>0</v>
      </c>
      <c r="C86" s="305">
        <f>C9</f>
        <v>0</v>
      </c>
      <c r="D86" s="305">
        <f>D9</f>
        <v>0</v>
      </c>
    </row>
    <row r="87" spans="1:4" x14ac:dyDescent="0.3">
      <c r="A87" s="304" t="s">
        <v>547</v>
      </c>
      <c r="B87" s="305">
        <f>B24</f>
        <v>0</v>
      </c>
      <c r="C87" s="305">
        <f>C24</f>
        <v>0</v>
      </c>
      <c r="D87" s="305">
        <f>D24</f>
        <v>0</v>
      </c>
    </row>
    <row r="88" spans="1:4" x14ac:dyDescent="0.3">
      <c r="A88" s="304" t="s">
        <v>491</v>
      </c>
      <c r="B88" s="305">
        <f>B27</f>
        <v>0</v>
      </c>
      <c r="C88" s="305">
        <f>C27</f>
        <v>0</v>
      </c>
      <c r="D88" s="305">
        <f>D27</f>
        <v>0</v>
      </c>
    </row>
    <row r="89" spans="1:4" x14ac:dyDescent="0.3">
      <c r="A89" s="304" t="s">
        <v>524</v>
      </c>
      <c r="B89" s="305">
        <f>B61</f>
        <v>0</v>
      </c>
      <c r="C89" s="305">
        <f>C61</f>
        <v>0</v>
      </c>
      <c r="D89" s="305">
        <f>D61</f>
        <v>0</v>
      </c>
    </row>
    <row r="90" spans="1:4" x14ac:dyDescent="0.3">
      <c r="A90" s="304" t="s">
        <v>548</v>
      </c>
      <c r="B90" s="305">
        <f>B34</f>
        <v>0</v>
      </c>
      <c r="C90" s="305">
        <f>C34</f>
        <v>0</v>
      </c>
      <c r="D90" s="305">
        <f>D34</f>
        <v>0</v>
      </c>
    </row>
    <row r="91" spans="1:4" x14ac:dyDescent="0.3">
      <c r="A91" s="304" t="s">
        <v>549</v>
      </c>
      <c r="B91" s="305">
        <f>B38</f>
        <v>0</v>
      </c>
      <c r="C91" s="305">
        <f>C38</f>
        <v>0</v>
      </c>
      <c r="D91" s="305">
        <f>D38</f>
        <v>0</v>
      </c>
    </row>
    <row r="92" spans="1:4" x14ac:dyDescent="0.3">
      <c r="A92" s="304" t="s">
        <v>550</v>
      </c>
      <c r="B92" s="305">
        <f>B74</f>
        <v>0</v>
      </c>
      <c r="C92" s="305">
        <f>C74</f>
        <v>0</v>
      </c>
      <c r="D92" s="305">
        <f>D74</f>
        <v>0</v>
      </c>
    </row>
    <row r="93" spans="1:4" x14ac:dyDescent="0.3">
      <c r="A93" s="304" t="s">
        <v>551</v>
      </c>
      <c r="B93" s="305">
        <f>B52</f>
        <v>0</v>
      </c>
      <c r="C93" s="305">
        <f>C52</f>
        <v>0</v>
      </c>
      <c r="D93" s="305">
        <f>D52</f>
        <v>0</v>
      </c>
    </row>
    <row r="94" spans="1:4" x14ac:dyDescent="0.3">
      <c r="A94" s="307" t="s">
        <v>552</v>
      </c>
      <c r="B94" s="305">
        <f>B65</f>
        <v>0</v>
      </c>
      <c r="C94" s="305">
        <f>C65</f>
        <v>0</v>
      </c>
      <c r="D94" s="305">
        <f>D65</f>
        <v>0</v>
      </c>
    </row>
    <row r="95" spans="1:4" x14ac:dyDescent="0.3">
      <c r="A95" s="304" t="s">
        <v>553</v>
      </c>
      <c r="B95" s="305">
        <f>B45+B48</f>
        <v>0</v>
      </c>
      <c r="C95" s="305">
        <f>C45+C48</f>
        <v>0</v>
      </c>
      <c r="D95" s="305">
        <f>D45+D48</f>
        <v>0</v>
      </c>
    </row>
    <row r="96" spans="1:4" x14ac:dyDescent="0.3">
      <c r="A96" s="304" t="s">
        <v>554</v>
      </c>
      <c r="B96" s="308" t="str">
        <f>ROUND(IFERROR(B95/B91,0),2)&amp;" times"</f>
        <v>0 times</v>
      </c>
      <c r="C96" s="308" t="str">
        <f>ROUND(IFERROR(C95/C91,0),2)&amp;" times"</f>
        <v>0 times</v>
      </c>
      <c r="D96" s="308" t="str">
        <f>ROUND(IFERROR(D95/D91,0),2)&amp;" times"</f>
        <v>0 times</v>
      </c>
    </row>
    <row r="97" spans="1:4" x14ac:dyDescent="0.3">
      <c r="A97" s="304" t="s">
        <v>555</v>
      </c>
      <c r="B97" s="308">
        <f>IFERROR(ROUNDUP(B81/B83,2)&amp;" Times",0)</f>
        <v>0</v>
      </c>
      <c r="C97" s="308">
        <f>IFERROR(ROUNDUP(C81/C83,2)&amp;" Times",0)</f>
        <v>0</v>
      </c>
      <c r="D97" s="308">
        <f>IFERROR(ROUNDUP(D81/D83,2)&amp;" Times",0)</f>
        <v>0</v>
      </c>
    </row>
    <row r="1048560" hidden="1" x14ac:dyDescent="0.3"/>
  </sheetData>
  <mergeCells count="26">
    <mergeCell ref="G76:K76"/>
    <mergeCell ref="G59:K63"/>
    <mergeCell ref="G64:K64"/>
    <mergeCell ref="G65:K71"/>
    <mergeCell ref="G72:K72"/>
    <mergeCell ref="G73:K75"/>
    <mergeCell ref="G38:K38"/>
    <mergeCell ref="G39:K47"/>
    <mergeCell ref="G48:K48"/>
    <mergeCell ref="G49:K53"/>
    <mergeCell ref="G54:K58"/>
    <mergeCell ref="G18:K20"/>
    <mergeCell ref="G23:K28"/>
    <mergeCell ref="G29:K31"/>
    <mergeCell ref="E30:F30"/>
    <mergeCell ref="G32:K37"/>
    <mergeCell ref="G7:K7"/>
    <mergeCell ref="G8:K10"/>
    <mergeCell ref="G11:K11"/>
    <mergeCell ref="G12:K16"/>
    <mergeCell ref="G17:K17"/>
    <mergeCell ref="A1:F1"/>
    <mergeCell ref="B2:F2"/>
    <mergeCell ref="E3:F3"/>
    <mergeCell ref="G3:K3"/>
    <mergeCell ref="G4:K6"/>
  </mergeCells>
  <dataValidations count="1">
    <dataValidation type="list" showInputMessage="1" showErrorMessage="1" sqref="B3:D3" xr:uid="{00000000-0002-0000-0F00-000000000000}">
      <formula1>"Audited,Unaudited,Provisional"</formula1>
      <formula2>0</formula2>
    </dataValidation>
  </dataValidations>
  <pageMargins left="0.2" right="0.2" top="0.2" bottom="0.2" header="0.511811023622047" footer="0.1"/>
  <pageSetup scale="49" orientation="portrait" horizontalDpi="300" verticalDpi="300"/>
  <headerFooter>
    <oddFooter>&amp;C&amp;F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C55A11"/>
  </sheetPr>
  <dimension ref="A1:AMJ1048560"/>
  <sheetViews>
    <sheetView zoomScaleNormal="100" workbookViewId="0">
      <pane ySplit="3" topLeftCell="A4" activePane="bottomLeft" state="frozen"/>
      <selection pane="bottomLeft" activeCell="C19" sqref="C19"/>
    </sheetView>
  </sheetViews>
  <sheetFormatPr defaultColWidth="9.109375" defaultRowHeight="14.4" x14ac:dyDescent="0.3"/>
  <cols>
    <col min="1" max="1" width="56.109375" style="271" customWidth="1"/>
    <col min="2" max="2" width="18" style="272" customWidth="1"/>
    <col min="3" max="4" width="15.88671875" style="272" customWidth="1"/>
    <col min="5" max="5" width="12.109375" style="271" customWidth="1"/>
    <col min="6" max="6" width="13.44140625" style="271" customWidth="1"/>
    <col min="7" max="7" width="24.33203125" style="271" customWidth="1"/>
    <col min="8" max="8" width="15.33203125" style="271" customWidth="1"/>
    <col min="9" max="1024" width="9.109375" style="271"/>
    <col min="1025" max="16384" width="9.109375" style="273"/>
  </cols>
  <sheetData>
    <row r="1" spans="1:11" s="274" customFormat="1" ht="18.75" customHeight="1" x14ac:dyDescent="0.3">
      <c r="A1" s="408" t="s">
        <v>466</v>
      </c>
      <c r="B1" s="408"/>
      <c r="C1" s="408"/>
      <c r="D1" s="408"/>
      <c r="E1" s="408"/>
      <c r="F1" s="408"/>
    </row>
    <row r="2" spans="1:11" ht="18.75" customHeight="1" x14ac:dyDescent="0.3">
      <c r="A2" s="275" t="s">
        <v>467</v>
      </c>
      <c r="B2" s="421"/>
      <c r="C2" s="421"/>
      <c r="D2" s="421"/>
      <c r="E2" s="421"/>
      <c r="F2" s="421"/>
    </row>
    <row r="3" spans="1:11" ht="15" customHeight="1" x14ac:dyDescent="0.3">
      <c r="A3" s="276" t="s">
        <v>398</v>
      </c>
      <c r="B3" s="309" t="s">
        <v>569</v>
      </c>
      <c r="C3" s="309" t="s">
        <v>556</v>
      </c>
      <c r="D3" s="309" t="s">
        <v>556</v>
      </c>
      <c r="E3" s="410" t="s">
        <v>469</v>
      </c>
      <c r="F3" s="410"/>
      <c r="G3" s="422" t="s">
        <v>557</v>
      </c>
      <c r="H3" s="422"/>
      <c r="I3" s="422"/>
      <c r="J3" s="422"/>
      <c r="K3" s="422"/>
    </row>
    <row r="4" spans="1:11" x14ac:dyDescent="0.3">
      <c r="A4" s="278" t="s">
        <v>470</v>
      </c>
      <c r="B4" s="310">
        <v>45382</v>
      </c>
      <c r="C4" s="310">
        <v>45747</v>
      </c>
      <c r="D4" s="310">
        <v>46112</v>
      </c>
      <c r="E4" s="280">
        <f>C4</f>
        <v>45747</v>
      </c>
      <c r="F4" s="280">
        <f>D4</f>
        <v>46112</v>
      </c>
      <c r="G4" s="423" t="s">
        <v>570</v>
      </c>
      <c r="H4" s="423"/>
      <c r="I4" s="423"/>
      <c r="J4" s="423"/>
      <c r="K4" s="423"/>
    </row>
    <row r="5" spans="1:11" x14ac:dyDescent="0.3">
      <c r="A5" s="281" t="s">
        <v>471</v>
      </c>
      <c r="B5" s="311"/>
      <c r="C5" s="311"/>
      <c r="D5" s="311"/>
      <c r="E5" s="283" t="str">
        <f t="shared" ref="E5:E28" si="0">IF(B5=0,"",(C5-B5)/B5)</f>
        <v/>
      </c>
      <c r="F5" s="283" t="str">
        <f t="shared" ref="F5:F28" si="1">IF(C5=0,"",(D5-C5)/C5)</f>
        <v/>
      </c>
      <c r="G5" s="423"/>
      <c r="H5" s="423"/>
      <c r="I5" s="423"/>
      <c r="J5" s="423"/>
      <c r="K5" s="423"/>
    </row>
    <row r="6" spans="1:11" x14ac:dyDescent="0.3">
      <c r="A6" s="284" t="s">
        <v>472</v>
      </c>
      <c r="B6" s="311"/>
      <c r="C6" s="311"/>
      <c r="D6" s="311"/>
      <c r="E6" s="283" t="str">
        <f t="shared" si="0"/>
        <v/>
      </c>
      <c r="F6" s="283" t="str">
        <f t="shared" si="1"/>
        <v/>
      </c>
      <c r="G6" s="423"/>
      <c r="H6" s="423"/>
      <c r="I6" s="423"/>
      <c r="J6" s="423"/>
      <c r="K6" s="423"/>
    </row>
    <row r="7" spans="1:11" x14ac:dyDescent="0.3">
      <c r="A7" s="285" t="s">
        <v>473</v>
      </c>
      <c r="B7" s="286">
        <f>B5+B6</f>
        <v>0</v>
      </c>
      <c r="C7" s="286">
        <f>C5+C6</f>
        <v>0</v>
      </c>
      <c r="D7" s="286">
        <f>D5+D6</f>
        <v>0</v>
      </c>
      <c r="E7" s="283" t="str">
        <f t="shared" si="0"/>
        <v/>
      </c>
      <c r="F7" s="283" t="str">
        <f t="shared" si="1"/>
        <v/>
      </c>
      <c r="G7" s="415"/>
      <c r="H7" s="415"/>
      <c r="I7" s="415"/>
      <c r="J7" s="415"/>
      <c r="K7" s="415"/>
    </row>
    <row r="8" spans="1:11" x14ac:dyDescent="0.3">
      <c r="A8" s="281" t="s">
        <v>474</v>
      </c>
      <c r="B8" s="311"/>
      <c r="C8" s="311"/>
      <c r="D8" s="311"/>
      <c r="E8" s="283" t="str">
        <f t="shared" si="0"/>
        <v/>
      </c>
      <c r="F8" s="283" t="str">
        <f t="shared" si="1"/>
        <v/>
      </c>
      <c r="G8" s="423" t="s">
        <v>559</v>
      </c>
      <c r="H8" s="423"/>
      <c r="I8" s="423"/>
      <c r="J8" s="423"/>
      <c r="K8" s="423"/>
    </row>
    <row r="9" spans="1:11" x14ac:dyDescent="0.3">
      <c r="A9" s="285" t="s">
        <v>475</v>
      </c>
      <c r="B9" s="286">
        <f>SUM(B8:B8)</f>
        <v>0</v>
      </c>
      <c r="C9" s="286">
        <f>SUM(C8:C8)</f>
        <v>0</v>
      </c>
      <c r="D9" s="286">
        <f>SUM(D8:D8)</f>
        <v>0</v>
      </c>
      <c r="E9" s="283" t="str">
        <f t="shared" si="0"/>
        <v/>
      </c>
      <c r="F9" s="283" t="str">
        <f t="shared" si="1"/>
        <v/>
      </c>
      <c r="G9" s="423"/>
      <c r="H9" s="423"/>
      <c r="I9" s="423"/>
      <c r="J9" s="423"/>
      <c r="K9" s="423"/>
    </row>
    <row r="10" spans="1:11" x14ac:dyDescent="0.3">
      <c r="A10" s="285" t="s">
        <v>476</v>
      </c>
      <c r="B10" s="286">
        <f>B7+B9</f>
        <v>0</v>
      </c>
      <c r="C10" s="286">
        <f>C7+C9</f>
        <v>0</v>
      </c>
      <c r="D10" s="286">
        <f>D7+D9</f>
        <v>0</v>
      </c>
      <c r="E10" s="283" t="str">
        <f t="shared" si="0"/>
        <v/>
      </c>
      <c r="F10" s="283" t="str">
        <f t="shared" si="1"/>
        <v/>
      </c>
      <c r="G10" s="423"/>
      <c r="H10" s="423"/>
      <c r="I10" s="423"/>
      <c r="J10" s="423"/>
      <c r="K10" s="423"/>
    </row>
    <row r="11" spans="1:11" s="288" customFormat="1" x14ac:dyDescent="0.3">
      <c r="A11" s="287" t="s">
        <v>355</v>
      </c>
      <c r="B11" s="311"/>
      <c r="C11" s="311"/>
      <c r="D11" s="311"/>
      <c r="E11" s="283" t="str">
        <f t="shared" si="0"/>
        <v/>
      </c>
      <c r="F11" s="283" t="str">
        <f t="shared" si="1"/>
        <v/>
      </c>
      <c r="G11" s="415"/>
      <c r="H11" s="415"/>
      <c r="I11" s="415"/>
      <c r="J11" s="415"/>
      <c r="K11" s="415"/>
    </row>
    <row r="12" spans="1:11" x14ac:dyDescent="0.3">
      <c r="A12" s="281" t="s">
        <v>477</v>
      </c>
      <c r="B12" s="311"/>
      <c r="C12" s="311"/>
      <c r="D12" s="311"/>
      <c r="E12" s="283" t="str">
        <f t="shared" si="0"/>
        <v/>
      </c>
      <c r="F12" s="283" t="str">
        <f t="shared" si="1"/>
        <v/>
      </c>
      <c r="G12" s="424" t="s">
        <v>560</v>
      </c>
      <c r="H12" s="424"/>
      <c r="I12" s="424"/>
      <c r="J12" s="424"/>
      <c r="K12" s="424"/>
    </row>
    <row r="13" spans="1:11" x14ac:dyDescent="0.3">
      <c r="A13" s="281" t="s">
        <v>478</v>
      </c>
      <c r="B13" s="311"/>
      <c r="C13" s="311"/>
      <c r="D13" s="311"/>
      <c r="E13" s="283" t="str">
        <f t="shared" si="0"/>
        <v/>
      </c>
      <c r="F13" s="283" t="str">
        <f t="shared" si="1"/>
        <v/>
      </c>
      <c r="G13" s="424"/>
      <c r="H13" s="424"/>
      <c r="I13" s="424"/>
      <c r="J13" s="424"/>
      <c r="K13" s="424"/>
    </row>
    <row r="14" spans="1:11" x14ac:dyDescent="0.3">
      <c r="A14" s="281" t="s">
        <v>479</v>
      </c>
      <c r="B14" s="311"/>
      <c r="C14" s="311"/>
      <c r="D14" s="311"/>
      <c r="E14" s="283" t="str">
        <f t="shared" si="0"/>
        <v/>
      </c>
      <c r="F14" s="283" t="str">
        <f t="shared" si="1"/>
        <v/>
      </c>
      <c r="G14" s="424"/>
      <c r="H14" s="424"/>
      <c r="I14" s="424"/>
      <c r="J14" s="424"/>
      <c r="K14" s="424"/>
    </row>
    <row r="15" spans="1:11" x14ac:dyDescent="0.3">
      <c r="A15" s="281" t="s">
        <v>480</v>
      </c>
      <c r="B15" s="311"/>
      <c r="C15" s="311"/>
      <c r="D15" s="311"/>
      <c r="E15" s="283" t="str">
        <f t="shared" si="0"/>
        <v/>
      </c>
      <c r="F15" s="283" t="str">
        <f t="shared" si="1"/>
        <v/>
      </c>
      <c r="G15" s="424"/>
      <c r="H15" s="424"/>
      <c r="I15" s="424"/>
      <c r="J15" s="424"/>
      <c r="K15" s="424"/>
    </row>
    <row r="16" spans="1:11" x14ac:dyDescent="0.3">
      <c r="A16" s="281" t="s">
        <v>481</v>
      </c>
      <c r="B16" s="311"/>
      <c r="C16" s="311"/>
      <c r="D16" s="311"/>
      <c r="E16" s="283" t="str">
        <f t="shared" si="0"/>
        <v/>
      </c>
      <c r="F16" s="283" t="str">
        <f t="shared" si="1"/>
        <v/>
      </c>
      <c r="G16" s="424"/>
      <c r="H16" s="424"/>
      <c r="I16" s="424"/>
      <c r="J16" s="424"/>
      <c r="K16" s="424"/>
    </row>
    <row r="17" spans="1:11" x14ac:dyDescent="0.3">
      <c r="A17" s="285" t="s">
        <v>482</v>
      </c>
      <c r="B17" s="286">
        <f>B7-SUM(B11:B16)</f>
        <v>0</v>
      </c>
      <c r="C17" s="286">
        <f>C7-SUM(C11:C16)</f>
        <v>0</v>
      </c>
      <c r="D17" s="286">
        <f>D7-SUM(D11:D16)</f>
        <v>0</v>
      </c>
      <c r="E17" s="283" t="str">
        <f t="shared" si="0"/>
        <v/>
      </c>
      <c r="F17" s="283" t="str">
        <f t="shared" si="1"/>
        <v/>
      </c>
      <c r="G17" s="415"/>
      <c r="H17" s="415"/>
      <c r="I17" s="415"/>
      <c r="J17" s="415"/>
      <c r="K17" s="415"/>
    </row>
    <row r="18" spans="1:11" x14ac:dyDescent="0.3">
      <c r="A18" s="281" t="s">
        <v>483</v>
      </c>
      <c r="B18" s="311"/>
      <c r="C18" s="311"/>
      <c r="D18" s="311"/>
      <c r="E18" s="283" t="str">
        <f t="shared" si="0"/>
        <v/>
      </c>
      <c r="F18" s="283" t="str">
        <f t="shared" si="1"/>
        <v/>
      </c>
      <c r="G18" s="423" t="s">
        <v>561</v>
      </c>
      <c r="H18" s="423"/>
      <c r="I18" s="423"/>
      <c r="J18" s="423"/>
      <c r="K18" s="423"/>
    </row>
    <row r="19" spans="1:11" x14ac:dyDescent="0.3">
      <c r="A19" s="281" t="s">
        <v>484</v>
      </c>
      <c r="B19" s="311"/>
      <c r="C19" s="311"/>
      <c r="D19" s="311"/>
      <c r="E19" s="283" t="str">
        <f t="shared" si="0"/>
        <v/>
      </c>
      <c r="F19" s="283" t="str">
        <f t="shared" si="1"/>
        <v/>
      </c>
      <c r="G19" s="423"/>
      <c r="H19" s="423"/>
      <c r="I19" s="423"/>
      <c r="J19" s="423"/>
      <c r="K19" s="423"/>
    </row>
    <row r="20" spans="1:11" x14ac:dyDescent="0.3">
      <c r="A20" s="281" t="s">
        <v>485</v>
      </c>
      <c r="B20" s="311"/>
      <c r="C20" s="311"/>
      <c r="D20" s="311"/>
      <c r="E20" s="283" t="str">
        <f t="shared" si="0"/>
        <v/>
      </c>
      <c r="F20" s="283" t="str">
        <f t="shared" si="1"/>
        <v/>
      </c>
      <c r="G20" s="423"/>
      <c r="H20" s="423"/>
      <c r="I20" s="423"/>
      <c r="J20" s="423"/>
      <c r="K20" s="423"/>
    </row>
    <row r="21" spans="1:11" x14ac:dyDescent="0.3">
      <c r="A21" s="281" t="s">
        <v>299</v>
      </c>
      <c r="B21" s="311"/>
      <c r="C21" s="311"/>
      <c r="D21" s="311"/>
      <c r="E21" s="283" t="str">
        <f t="shared" si="0"/>
        <v/>
      </c>
      <c r="F21" s="283" t="str">
        <f t="shared" si="1"/>
        <v/>
      </c>
      <c r="G21" s="312"/>
      <c r="H21" s="313"/>
      <c r="I21" s="313"/>
      <c r="J21" s="313"/>
      <c r="K21" s="314"/>
    </row>
    <row r="22" spans="1:11" x14ac:dyDescent="0.3">
      <c r="A22" s="281" t="s">
        <v>486</v>
      </c>
      <c r="B22" s="311"/>
      <c r="C22" s="311"/>
      <c r="D22" s="311"/>
      <c r="E22" s="283" t="str">
        <f t="shared" si="0"/>
        <v/>
      </c>
      <c r="F22" s="283" t="str">
        <f t="shared" si="1"/>
        <v/>
      </c>
      <c r="G22" s="315"/>
      <c r="H22" s="316"/>
      <c r="I22" s="316"/>
      <c r="J22" s="316"/>
      <c r="K22" s="317"/>
    </row>
    <row r="23" spans="1:11" x14ac:dyDescent="0.3">
      <c r="A23" s="285" t="s">
        <v>487</v>
      </c>
      <c r="B23" s="286">
        <f>B17-SUM(B18:B22)</f>
        <v>0</v>
      </c>
      <c r="C23" s="286">
        <f>C17-SUM(C18:C22)</f>
        <v>0</v>
      </c>
      <c r="D23" s="286">
        <f>D17-SUM(D18:D22)</f>
        <v>0</v>
      </c>
      <c r="E23" s="283" t="str">
        <f t="shared" si="0"/>
        <v/>
      </c>
      <c r="F23" s="283" t="str">
        <f t="shared" si="1"/>
        <v/>
      </c>
      <c r="G23" s="425" t="s">
        <v>562</v>
      </c>
      <c r="H23" s="425"/>
      <c r="I23" s="425"/>
      <c r="J23" s="425"/>
      <c r="K23" s="425"/>
    </row>
    <row r="24" spans="1:11" x14ac:dyDescent="0.3">
      <c r="A24" s="285" t="s">
        <v>488</v>
      </c>
      <c r="B24" s="289">
        <f>B23+B9</f>
        <v>0</v>
      </c>
      <c r="C24" s="289">
        <f>C23+C9</f>
        <v>0</v>
      </c>
      <c r="D24" s="289">
        <f>D23+D9</f>
        <v>0</v>
      </c>
      <c r="E24" s="283" t="str">
        <f t="shared" si="0"/>
        <v/>
      </c>
      <c r="F24" s="283" t="str">
        <f t="shared" si="1"/>
        <v/>
      </c>
      <c r="G24" s="425"/>
      <c r="H24" s="425"/>
      <c r="I24" s="425"/>
      <c r="J24" s="425"/>
      <c r="K24" s="425"/>
    </row>
    <row r="25" spans="1:11" x14ac:dyDescent="0.3">
      <c r="A25" s="281" t="s">
        <v>489</v>
      </c>
      <c r="B25" s="311"/>
      <c r="C25" s="311"/>
      <c r="D25" s="311"/>
      <c r="E25" s="283" t="str">
        <f t="shared" si="0"/>
        <v/>
      </c>
      <c r="F25" s="283" t="str">
        <f t="shared" si="1"/>
        <v/>
      </c>
      <c r="G25" s="425"/>
      <c r="H25" s="425"/>
      <c r="I25" s="425"/>
      <c r="J25" s="425"/>
      <c r="K25" s="425"/>
    </row>
    <row r="26" spans="1:11" x14ac:dyDescent="0.3">
      <c r="A26" s="285" t="s">
        <v>490</v>
      </c>
      <c r="B26" s="286">
        <f>B24-B25</f>
        <v>0</v>
      </c>
      <c r="C26" s="286">
        <f>C24-C25</f>
        <v>0</v>
      </c>
      <c r="D26" s="286">
        <f>D24-D25</f>
        <v>0</v>
      </c>
      <c r="E26" s="283" t="str">
        <f t="shared" si="0"/>
        <v/>
      </c>
      <c r="F26" s="283" t="str">
        <f t="shared" si="1"/>
        <v/>
      </c>
      <c r="G26" s="425"/>
      <c r="H26" s="425"/>
      <c r="I26" s="425"/>
      <c r="J26" s="425"/>
      <c r="K26" s="425"/>
    </row>
    <row r="27" spans="1:11" x14ac:dyDescent="0.3">
      <c r="A27" s="285" t="s">
        <v>491</v>
      </c>
      <c r="B27" s="286">
        <f>B23-B25</f>
        <v>0</v>
      </c>
      <c r="C27" s="286">
        <f>C23-C25</f>
        <v>0</v>
      </c>
      <c r="D27" s="286">
        <f>D23-D25</f>
        <v>0</v>
      </c>
      <c r="E27" s="283" t="str">
        <f t="shared" si="0"/>
        <v/>
      </c>
      <c r="F27" s="283" t="str">
        <f t="shared" si="1"/>
        <v/>
      </c>
      <c r="G27" s="425"/>
      <c r="H27" s="425"/>
      <c r="I27" s="425"/>
      <c r="J27" s="425"/>
      <c r="K27" s="425"/>
    </row>
    <row r="28" spans="1:11" x14ac:dyDescent="0.3">
      <c r="A28" s="285" t="s">
        <v>492</v>
      </c>
      <c r="B28" s="286">
        <f>B27+B22+B21</f>
        <v>0</v>
      </c>
      <c r="C28" s="286">
        <f>C27+C22+C21</f>
        <v>0</v>
      </c>
      <c r="D28" s="286">
        <f>D27+D22+D21</f>
        <v>0</v>
      </c>
      <c r="E28" s="283" t="str">
        <f t="shared" si="0"/>
        <v/>
      </c>
      <c r="F28" s="283" t="str">
        <f t="shared" si="1"/>
        <v/>
      </c>
      <c r="G28" s="425"/>
      <c r="H28" s="425"/>
      <c r="I28" s="425"/>
      <c r="J28" s="425"/>
      <c r="K28" s="425"/>
    </row>
    <row r="29" spans="1:11" x14ac:dyDescent="0.3">
      <c r="A29" s="290"/>
      <c r="B29" s="291"/>
      <c r="C29" s="291"/>
      <c r="D29" s="291"/>
      <c r="E29" s="292" t="str">
        <f>IF(B29=0,"",(C29-B29)/B29)</f>
        <v/>
      </c>
      <c r="F29" s="292"/>
      <c r="G29" s="415"/>
      <c r="H29" s="415"/>
      <c r="I29" s="415"/>
      <c r="J29" s="415"/>
      <c r="K29" s="415"/>
    </row>
    <row r="30" spans="1:11" s="274" customFormat="1" x14ac:dyDescent="0.3">
      <c r="A30" s="278" t="s">
        <v>493</v>
      </c>
      <c r="B30" s="293">
        <f>B4</f>
        <v>45382</v>
      </c>
      <c r="C30" s="293">
        <f>C4</f>
        <v>45747</v>
      </c>
      <c r="D30" s="293">
        <f>D4</f>
        <v>46112</v>
      </c>
      <c r="E30" s="411" t="s">
        <v>469</v>
      </c>
      <c r="F30" s="411"/>
      <c r="G30" s="415"/>
      <c r="H30" s="415"/>
      <c r="I30" s="415"/>
      <c r="J30" s="415"/>
      <c r="K30" s="415"/>
    </row>
    <row r="31" spans="1:11" x14ac:dyDescent="0.3">
      <c r="A31" s="278" t="s">
        <v>494</v>
      </c>
      <c r="B31" s="294"/>
      <c r="C31" s="294"/>
      <c r="D31" s="294"/>
      <c r="E31" s="295">
        <f>E4</f>
        <v>45747</v>
      </c>
      <c r="F31" s="295">
        <f>F4</f>
        <v>46112</v>
      </c>
      <c r="G31" s="415"/>
      <c r="H31" s="415"/>
      <c r="I31" s="415"/>
      <c r="J31" s="415"/>
      <c r="K31" s="415"/>
    </row>
    <row r="32" spans="1:11" x14ac:dyDescent="0.3">
      <c r="A32" s="281" t="s">
        <v>495</v>
      </c>
      <c r="B32" s="311"/>
      <c r="C32" s="311"/>
      <c r="D32" s="311"/>
      <c r="E32" s="283" t="str">
        <f t="shared" ref="E32:E76" si="2">IF(B32=0,"",(C32-B32)/B32)</f>
        <v/>
      </c>
      <c r="F32" s="283" t="str">
        <f t="shared" ref="F32:F76" si="3">IF(C32=0,"",(D32-C32)/C32)</f>
        <v/>
      </c>
      <c r="G32" s="423" t="s">
        <v>563</v>
      </c>
      <c r="H32" s="423"/>
      <c r="I32" s="423"/>
      <c r="J32" s="423"/>
      <c r="K32" s="423"/>
    </row>
    <row r="33" spans="1:11" x14ac:dyDescent="0.3">
      <c r="A33" s="281" t="s">
        <v>496</v>
      </c>
      <c r="B33" s="311"/>
      <c r="C33" s="311"/>
      <c r="D33" s="311"/>
      <c r="E33" s="283" t="str">
        <f t="shared" si="2"/>
        <v/>
      </c>
      <c r="F33" s="283" t="str">
        <f t="shared" si="3"/>
        <v/>
      </c>
      <c r="G33" s="423"/>
      <c r="H33" s="423"/>
      <c r="I33" s="423"/>
      <c r="J33" s="423"/>
      <c r="K33" s="423"/>
    </row>
    <row r="34" spans="1:11" x14ac:dyDescent="0.3">
      <c r="A34" s="285" t="s">
        <v>497</v>
      </c>
      <c r="B34" s="286">
        <f>B32+B33</f>
        <v>0</v>
      </c>
      <c r="C34" s="286">
        <f>C32+C33</f>
        <v>0</v>
      </c>
      <c r="D34" s="286">
        <f>D32+D33</f>
        <v>0</v>
      </c>
      <c r="E34" s="283" t="str">
        <f t="shared" si="2"/>
        <v/>
      </c>
      <c r="F34" s="283" t="str">
        <f t="shared" si="3"/>
        <v/>
      </c>
      <c r="G34" s="423"/>
      <c r="H34" s="423"/>
      <c r="I34" s="423"/>
      <c r="J34" s="423"/>
      <c r="K34" s="423"/>
    </row>
    <row r="35" spans="1:11" x14ac:dyDescent="0.3">
      <c r="A35" s="281" t="s">
        <v>498</v>
      </c>
      <c r="B35" s="311"/>
      <c r="C35" s="311"/>
      <c r="D35" s="311"/>
      <c r="E35" s="283" t="str">
        <f t="shared" si="2"/>
        <v/>
      </c>
      <c r="F35" s="283" t="str">
        <f t="shared" si="3"/>
        <v/>
      </c>
      <c r="G35" s="423"/>
      <c r="H35" s="423"/>
      <c r="I35" s="423"/>
      <c r="J35" s="423"/>
      <c r="K35" s="423"/>
    </row>
    <row r="36" spans="1:11" x14ac:dyDescent="0.3">
      <c r="A36" s="285" t="s">
        <v>499</v>
      </c>
      <c r="B36" s="286">
        <f>B34+B35</f>
        <v>0</v>
      </c>
      <c r="C36" s="286">
        <f>C34+C35</f>
        <v>0</v>
      </c>
      <c r="D36" s="286">
        <f>D34+D35</f>
        <v>0</v>
      </c>
      <c r="E36" s="283" t="str">
        <f t="shared" si="2"/>
        <v/>
      </c>
      <c r="F36" s="283" t="str">
        <f t="shared" si="3"/>
        <v/>
      </c>
      <c r="G36" s="423"/>
      <c r="H36" s="423"/>
      <c r="I36" s="423"/>
      <c r="J36" s="423"/>
      <c r="K36" s="423"/>
    </row>
    <row r="37" spans="1:11" x14ac:dyDescent="0.3">
      <c r="A37" s="281" t="s">
        <v>500</v>
      </c>
      <c r="B37" s="311">
        <v>0</v>
      </c>
      <c r="C37" s="311"/>
      <c r="D37" s="311">
        <v>0</v>
      </c>
      <c r="E37" s="283" t="str">
        <f t="shared" si="2"/>
        <v/>
      </c>
      <c r="F37" s="283" t="str">
        <f t="shared" si="3"/>
        <v/>
      </c>
      <c r="G37" s="423"/>
      <c r="H37" s="423"/>
      <c r="I37" s="423"/>
      <c r="J37" s="423"/>
      <c r="K37" s="423"/>
    </row>
    <row r="38" spans="1:11" x14ac:dyDescent="0.3">
      <c r="A38" s="285" t="s">
        <v>501</v>
      </c>
      <c r="B38" s="286">
        <f>B36-B74-B62</f>
        <v>0</v>
      </c>
      <c r="C38" s="286">
        <f>C36-C74-C62</f>
        <v>0</v>
      </c>
      <c r="D38" s="286">
        <f>D36-D74-D62</f>
        <v>0</v>
      </c>
      <c r="E38" s="283" t="str">
        <f t="shared" si="2"/>
        <v/>
      </c>
      <c r="F38" s="283" t="str">
        <f t="shared" si="3"/>
        <v/>
      </c>
      <c r="G38" s="415"/>
      <c r="H38" s="415"/>
      <c r="I38" s="415"/>
      <c r="J38" s="415"/>
      <c r="K38" s="415"/>
    </row>
    <row r="39" spans="1:11" x14ac:dyDescent="0.3">
      <c r="A39" s="296" t="s">
        <v>502</v>
      </c>
      <c r="B39" s="311"/>
      <c r="C39" s="311"/>
      <c r="D39" s="311"/>
      <c r="E39" s="283" t="str">
        <f t="shared" si="2"/>
        <v/>
      </c>
      <c r="F39" s="283" t="str">
        <f t="shared" si="3"/>
        <v/>
      </c>
      <c r="G39" s="423" t="s">
        <v>564</v>
      </c>
      <c r="H39" s="423"/>
      <c r="I39" s="423"/>
      <c r="J39" s="423"/>
      <c r="K39" s="423"/>
    </row>
    <row r="40" spans="1:11" x14ac:dyDescent="0.3">
      <c r="A40" s="281" t="s">
        <v>503</v>
      </c>
      <c r="B40" s="311"/>
      <c r="C40" s="311"/>
      <c r="D40" s="311"/>
      <c r="E40" s="283" t="str">
        <f t="shared" si="2"/>
        <v/>
      </c>
      <c r="F40" s="283" t="str">
        <f t="shared" si="3"/>
        <v/>
      </c>
      <c r="G40" s="423"/>
      <c r="H40" s="423"/>
      <c r="I40" s="423"/>
      <c r="J40" s="423"/>
      <c r="K40" s="423"/>
    </row>
    <row r="41" spans="1:11" x14ac:dyDescent="0.3">
      <c r="A41" s="281" t="s">
        <v>504</v>
      </c>
      <c r="B41" s="311"/>
      <c r="C41" s="311"/>
      <c r="D41" s="311"/>
      <c r="E41" s="283" t="str">
        <f t="shared" si="2"/>
        <v/>
      </c>
      <c r="F41" s="283" t="str">
        <f t="shared" si="3"/>
        <v/>
      </c>
      <c r="G41" s="423"/>
      <c r="H41" s="423"/>
      <c r="I41" s="423"/>
      <c r="J41" s="423"/>
      <c r="K41" s="423"/>
    </row>
    <row r="42" spans="1:11" x14ac:dyDescent="0.3">
      <c r="A42" s="285" t="s">
        <v>505</v>
      </c>
      <c r="B42" s="286">
        <f>B40+B41</f>
        <v>0</v>
      </c>
      <c r="C42" s="286">
        <f>C40+C41</f>
        <v>0</v>
      </c>
      <c r="D42" s="286">
        <f>D40+D41</f>
        <v>0</v>
      </c>
      <c r="E42" s="283" t="str">
        <f t="shared" si="2"/>
        <v/>
      </c>
      <c r="F42" s="283" t="str">
        <f t="shared" si="3"/>
        <v/>
      </c>
      <c r="G42" s="423"/>
      <c r="H42" s="423"/>
      <c r="I42" s="423"/>
      <c r="J42" s="423"/>
      <c r="K42" s="423"/>
    </row>
    <row r="43" spans="1:11" x14ac:dyDescent="0.3">
      <c r="A43" s="281" t="s">
        <v>506</v>
      </c>
      <c r="B43" s="311"/>
      <c r="C43" s="311"/>
      <c r="D43" s="311"/>
      <c r="E43" s="283" t="str">
        <f t="shared" si="2"/>
        <v/>
      </c>
      <c r="F43" s="283" t="str">
        <f t="shared" si="3"/>
        <v/>
      </c>
      <c r="G43" s="423"/>
      <c r="H43" s="423"/>
      <c r="I43" s="423"/>
      <c r="J43" s="423"/>
      <c r="K43" s="423"/>
    </row>
    <row r="44" spans="1:11" x14ac:dyDescent="0.3">
      <c r="A44" s="281" t="s">
        <v>507</v>
      </c>
      <c r="B44" s="311"/>
      <c r="C44" s="311"/>
      <c r="D44" s="311"/>
      <c r="E44" s="283" t="str">
        <f t="shared" si="2"/>
        <v/>
      </c>
      <c r="F44" s="283" t="str">
        <f t="shared" si="3"/>
        <v/>
      </c>
      <c r="G44" s="423"/>
      <c r="H44" s="423"/>
      <c r="I44" s="423"/>
      <c r="J44" s="423"/>
      <c r="K44" s="423"/>
    </row>
    <row r="45" spans="1:11" x14ac:dyDescent="0.3">
      <c r="A45" s="285" t="s">
        <v>508</v>
      </c>
      <c r="B45" s="286">
        <f>SUM(B42:B44)</f>
        <v>0</v>
      </c>
      <c r="C45" s="286">
        <f>SUM(C42:C44)</f>
        <v>0</v>
      </c>
      <c r="D45" s="286">
        <f>SUM(D42:D44)</f>
        <v>0</v>
      </c>
      <c r="E45" s="283" t="str">
        <f t="shared" si="2"/>
        <v/>
      </c>
      <c r="F45" s="283" t="str">
        <f t="shared" si="3"/>
        <v/>
      </c>
      <c r="G45" s="423"/>
      <c r="H45" s="423"/>
      <c r="I45" s="423"/>
      <c r="J45" s="423"/>
      <c r="K45" s="423"/>
    </row>
    <row r="46" spans="1:11" x14ac:dyDescent="0.3">
      <c r="A46" s="281" t="s">
        <v>509</v>
      </c>
      <c r="B46" s="311"/>
      <c r="C46" s="311"/>
      <c r="D46" s="311"/>
      <c r="E46" s="283" t="str">
        <f t="shared" si="2"/>
        <v/>
      </c>
      <c r="F46" s="283" t="str">
        <f t="shared" si="3"/>
        <v/>
      </c>
      <c r="G46" s="423"/>
      <c r="H46" s="423"/>
      <c r="I46" s="423"/>
      <c r="J46" s="423"/>
      <c r="K46" s="423"/>
    </row>
    <row r="47" spans="1:11" x14ac:dyDescent="0.3">
      <c r="A47" s="281" t="s">
        <v>510</v>
      </c>
      <c r="B47" s="311"/>
      <c r="C47" s="311"/>
      <c r="D47" s="311"/>
      <c r="E47" s="283" t="str">
        <f t="shared" si="2"/>
        <v/>
      </c>
      <c r="F47" s="283" t="str">
        <f t="shared" si="3"/>
        <v/>
      </c>
      <c r="G47" s="423"/>
      <c r="H47" s="423"/>
      <c r="I47" s="423"/>
      <c r="J47" s="423"/>
      <c r="K47" s="423"/>
    </row>
    <row r="48" spans="1:11" x14ac:dyDescent="0.3">
      <c r="A48" s="285" t="s">
        <v>511</v>
      </c>
      <c r="B48" s="286">
        <f>B46+B47</f>
        <v>0</v>
      </c>
      <c r="C48" s="286">
        <f>C46+C47</f>
        <v>0</v>
      </c>
      <c r="D48" s="286">
        <f>D46+D47</f>
        <v>0</v>
      </c>
      <c r="E48" s="283" t="str">
        <f t="shared" si="2"/>
        <v/>
      </c>
      <c r="F48" s="283" t="str">
        <f t="shared" si="3"/>
        <v/>
      </c>
      <c r="G48" s="415"/>
      <c r="H48" s="415"/>
      <c r="I48" s="415"/>
      <c r="J48" s="415"/>
      <c r="K48" s="415"/>
    </row>
    <row r="49" spans="1:11" x14ac:dyDescent="0.3">
      <c r="A49" s="281" t="s">
        <v>512</v>
      </c>
      <c r="B49" s="311"/>
      <c r="C49" s="311"/>
      <c r="D49" s="311"/>
      <c r="E49" s="283" t="str">
        <f t="shared" si="2"/>
        <v/>
      </c>
      <c r="F49" s="283" t="str">
        <f t="shared" si="3"/>
        <v/>
      </c>
      <c r="G49" s="423" t="s">
        <v>565</v>
      </c>
      <c r="H49" s="423"/>
      <c r="I49" s="423"/>
      <c r="J49" s="423"/>
      <c r="K49" s="423"/>
    </row>
    <row r="50" spans="1:11" x14ac:dyDescent="0.3">
      <c r="A50" s="281" t="s">
        <v>513</v>
      </c>
      <c r="B50" s="311"/>
      <c r="C50" s="311"/>
      <c r="D50" s="311"/>
      <c r="E50" s="283" t="str">
        <f t="shared" si="2"/>
        <v/>
      </c>
      <c r="F50" s="283" t="str">
        <f t="shared" si="3"/>
        <v/>
      </c>
      <c r="G50" s="423"/>
      <c r="H50" s="423"/>
      <c r="I50" s="423"/>
      <c r="J50" s="423"/>
      <c r="K50" s="423"/>
    </row>
    <row r="51" spans="1:11" x14ac:dyDescent="0.3">
      <c r="A51" s="281" t="s">
        <v>514</v>
      </c>
      <c r="B51" s="311"/>
      <c r="C51" s="311"/>
      <c r="D51" s="311"/>
      <c r="E51" s="283" t="str">
        <f t="shared" si="2"/>
        <v/>
      </c>
      <c r="F51" s="283" t="str">
        <f t="shared" si="3"/>
        <v/>
      </c>
      <c r="G51" s="423"/>
      <c r="H51" s="423"/>
      <c r="I51" s="423"/>
      <c r="J51" s="423"/>
      <c r="K51" s="423"/>
    </row>
    <row r="52" spans="1:11" x14ac:dyDescent="0.3">
      <c r="A52" s="281" t="s">
        <v>515</v>
      </c>
      <c r="B52" s="311"/>
      <c r="C52" s="311"/>
      <c r="D52" s="311"/>
      <c r="E52" s="283" t="str">
        <f t="shared" si="2"/>
        <v/>
      </c>
      <c r="F52" s="283" t="str">
        <f t="shared" si="3"/>
        <v/>
      </c>
      <c r="G52" s="423"/>
      <c r="H52" s="423"/>
      <c r="I52" s="423"/>
      <c r="J52" s="423"/>
      <c r="K52" s="423"/>
    </row>
    <row r="53" spans="1:11" x14ac:dyDescent="0.3">
      <c r="A53" s="281" t="s">
        <v>516</v>
      </c>
      <c r="B53" s="311"/>
      <c r="C53" s="311"/>
      <c r="D53" s="311"/>
      <c r="E53" s="283" t="str">
        <f t="shared" si="2"/>
        <v/>
      </c>
      <c r="F53" s="283" t="str">
        <f t="shared" si="3"/>
        <v/>
      </c>
      <c r="G53" s="423"/>
      <c r="H53" s="423"/>
      <c r="I53" s="423"/>
      <c r="J53" s="423"/>
      <c r="K53" s="423"/>
    </row>
    <row r="54" spans="1:11" x14ac:dyDescent="0.3">
      <c r="A54" s="297" t="s">
        <v>517</v>
      </c>
      <c r="B54" s="298">
        <f>SUM(B49:B53)</f>
        <v>0</v>
      </c>
      <c r="C54" s="298">
        <f>SUM(C49:C53)</f>
        <v>0</v>
      </c>
      <c r="D54" s="298">
        <f>SUM(D49:D53)</f>
        <v>0</v>
      </c>
      <c r="E54" s="283" t="str">
        <f t="shared" si="2"/>
        <v/>
      </c>
      <c r="F54" s="283" t="str">
        <f t="shared" si="3"/>
        <v/>
      </c>
      <c r="G54" s="419"/>
      <c r="H54" s="419"/>
      <c r="I54" s="419"/>
      <c r="J54" s="419"/>
      <c r="K54" s="419"/>
    </row>
    <row r="55" spans="1:11" x14ac:dyDescent="0.3">
      <c r="A55" s="297" t="s">
        <v>518</v>
      </c>
      <c r="B55" s="298">
        <f>B45+B48</f>
        <v>0</v>
      </c>
      <c r="C55" s="298">
        <f>C45+C48</f>
        <v>0</v>
      </c>
      <c r="D55" s="298">
        <f>D45+D48</f>
        <v>0</v>
      </c>
      <c r="E55" s="283" t="str">
        <f t="shared" si="2"/>
        <v/>
      </c>
      <c r="F55" s="283" t="str">
        <f t="shared" si="3"/>
        <v/>
      </c>
      <c r="G55" s="419"/>
      <c r="H55" s="419"/>
      <c r="I55" s="419"/>
      <c r="J55" s="419"/>
      <c r="K55" s="419"/>
    </row>
    <row r="56" spans="1:11" x14ac:dyDescent="0.3">
      <c r="A56" s="297" t="s">
        <v>519</v>
      </c>
      <c r="B56" s="298">
        <f>+B54+B45+B48</f>
        <v>0</v>
      </c>
      <c r="C56" s="298">
        <f>+C54+C45+C48</f>
        <v>0</v>
      </c>
      <c r="D56" s="298">
        <f>+D54+D45+D48</f>
        <v>0</v>
      </c>
      <c r="E56" s="283" t="str">
        <f t="shared" si="2"/>
        <v/>
      </c>
      <c r="F56" s="283" t="str">
        <f t="shared" si="3"/>
        <v/>
      </c>
      <c r="G56" s="419"/>
      <c r="H56" s="419"/>
      <c r="I56" s="419"/>
      <c r="J56" s="419"/>
      <c r="K56" s="419"/>
    </row>
    <row r="57" spans="1:11" x14ac:dyDescent="0.3">
      <c r="A57" s="297" t="s">
        <v>520</v>
      </c>
      <c r="B57" s="298">
        <f>+B34+B56+B35</f>
        <v>0</v>
      </c>
      <c r="C57" s="298">
        <f>+C34+C56+C35</f>
        <v>0</v>
      </c>
      <c r="D57" s="298">
        <f>+D34+D56+D35</f>
        <v>0</v>
      </c>
      <c r="E57" s="283" t="str">
        <f t="shared" si="2"/>
        <v/>
      </c>
      <c r="F57" s="283" t="str">
        <f t="shared" si="3"/>
        <v/>
      </c>
      <c r="G57" s="419"/>
      <c r="H57" s="419"/>
      <c r="I57" s="419"/>
      <c r="J57" s="419"/>
      <c r="K57" s="419"/>
    </row>
    <row r="58" spans="1:11" s="274" customFormat="1" x14ac:dyDescent="0.3">
      <c r="A58" s="278" t="s">
        <v>521</v>
      </c>
      <c r="B58" s="318"/>
      <c r="C58" s="318"/>
      <c r="D58" s="318"/>
      <c r="E58" s="283" t="str">
        <f t="shared" si="2"/>
        <v/>
      </c>
      <c r="F58" s="283" t="str">
        <f t="shared" si="3"/>
        <v/>
      </c>
      <c r="G58" s="419"/>
      <c r="H58" s="419"/>
      <c r="I58" s="419"/>
      <c r="J58" s="419"/>
      <c r="K58" s="419"/>
    </row>
    <row r="59" spans="1:11" ht="15.75" customHeight="1" x14ac:dyDescent="0.3">
      <c r="A59" s="281" t="s">
        <v>522</v>
      </c>
      <c r="B59" s="311"/>
      <c r="C59" s="311"/>
      <c r="D59" s="311"/>
      <c r="E59" s="283" t="str">
        <f t="shared" si="2"/>
        <v/>
      </c>
      <c r="F59" s="283" t="str">
        <f t="shared" si="3"/>
        <v/>
      </c>
      <c r="G59" s="426" t="s">
        <v>566</v>
      </c>
      <c r="H59" s="426"/>
      <c r="I59" s="426"/>
      <c r="J59" s="426"/>
      <c r="K59" s="426"/>
    </row>
    <row r="60" spans="1:11" x14ac:dyDescent="0.3">
      <c r="A60" s="281" t="s">
        <v>523</v>
      </c>
      <c r="B60" s="311"/>
      <c r="C60" s="311"/>
      <c r="D60" s="311"/>
      <c r="E60" s="283" t="str">
        <f t="shared" si="2"/>
        <v/>
      </c>
      <c r="F60" s="283" t="str">
        <f t="shared" si="3"/>
        <v/>
      </c>
      <c r="G60" s="426"/>
      <c r="H60" s="426"/>
      <c r="I60" s="426"/>
      <c r="J60" s="426"/>
      <c r="K60" s="426"/>
    </row>
    <row r="61" spans="1:11" x14ac:dyDescent="0.3">
      <c r="A61" s="285" t="s">
        <v>524</v>
      </c>
      <c r="B61" s="286">
        <f>B59-B60</f>
        <v>0</v>
      </c>
      <c r="C61" s="286">
        <f>C59-C60</f>
        <v>0</v>
      </c>
      <c r="D61" s="286">
        <f>D59-D60</f>
        <v>0</v>
      </c>
      <c r="E61" s="283" t="str">
        <f t="shared" si="2"/>
        <v/>
      </c>
      <c r="F61" s="283" t="str">
        <f t="shared" si="3"/>
        <v/>
      </c>
      <c r="G61" s="426"/>
      <c r="H61" s="426"/>
      <c r="I61" s="426"/>
      <c r="J61" s="426"/>
      <c r="K61" s="426"/>
    </row>
    <row r="62" spans="1:11" x14ac:dyDescent="0.3">
      <c r="A62" s="281" t="s">
        <v>525</v>
      </c>
      <c r="B62" s="311"/>
      <c r="C62" s="311"/>
      <c r="D62" s="311"/>
      <c r="E62" s="283" t="str">
        <f t="shared" si="2"/>
        <v/>
      </c>
      <c r="F62" s="283" t="str">
        <f t="shared" si="3"/>
        <v/>
      </c>
      <c r="G62" s="426"/>
      <c r="H62" s="426"/>
      <c r="I62" s="426"/>
      <c r="J62" s="426"/>
      <c r="K62" s="426"/>
    </row>
    <row r="63" spans="1:11" x14ac:dyDescent="0.3">
      <c r="A63" s="285" t="s">
        <v>526</v>
      </c>
      <c r="B63" s="286">
        <f>+B61+B62</f>
        <v>0</v>
      </c>
      <c r="C63" s="286">
        <f>+C61+C62</f>
        <v>0</v>
      </c>
      <c r="D63" s="286">
        <f>+D61+D62</f>
        <v>0</v>
      </c>
      <c r="E63" s="283" t="str">
        <f t="shared" si="2"/>
        <v/>
      </c>
      <c r="F63" s="283" t="str">
        <f t="shared" si="3"/>
        <v/>
      </c>
      <c r="G63" s="426"/>
      <c r="H63" s="426"/>
      <c r="I63" s="426"/>
      <c r="J63" s="426"/>
      <c r="K63" s="426"/>
    </row>
    <row r="64" spans="1:11" x14ac:dyDescent="0.3">
      <c r="A64" s="285" t="s">
        <v>527</v>
      </c>
      <c r="B64" s="286">
        <f>SUM(B65:B71)</f>
        <v>0</v>
      </c>
      <c r="C64" s="286">
        <f>SUM(C65:C71)</f>
        <v>0</v>
      </c>
      <c r="D64" s="286">
        <f>SUM(D65:D71)</f>
        <v>0</v>
      </c>
      <c r="E64" s="283" t="str">
        <f t="shared" si="2"/>
        <v/>
      </c>
      <c r="F64" s="283" t="str">
        <f t="shared" si="3"/>
        <v/>
      </c>
      <c r="G64" s="415"/>
      <c r="H64" s="415"/>
      <c r="I64" s="415"/>
      <c r="J64" s="415"/>
      <c r="K64" s="415"/>
    </row>
    <row r="65" spans="1:11" x14ac:dyDescent="0.3">
      <c r="A65" s="281" t="s">
        <v>528</v>
      </c>
      <c r="B65" s="311"/>
      <c r="C65" s="311"/>
      <c r="D65" s="311"/>
      <c r="E65" s="283" t="str">
        <f t="shared" si="2"/>
        <v/>
      </c>
      <c r="F65" s="283" t="str">
        <f t="shared" si="3"/>
        <v/>
      </c>
      <c r="G65" s="423" t="s">
        <v>571</v>
      </c>
      <c r="H65" s="423"/>
      <c r="I65" s="423"/>
      <c r="J65" s="423"/>
      <c r="K65" s="423"/>
    </row>
    <row r="66" spans="1:11" x14ac:dyDescent="0.3">
      <c r="A66" s="281" t="s">
        <v>529</v>
      </c>
      <c r="B66" s="311"/>
      <c r="C66" s="311"/>
      <c r="D66" s="311"/>
      <c r="E66" s="283" t="str">
        <f t="shared" si="2"/>
        <v/>
      </c>
      <c r="F66" s="283" t="str">
        <f t="shared" si="3"/>
        <v/>
      </c>
      <c r="G66" s="423"/>
      <c r="H66" s="423"/>
      <c r="I66" s="423"/>
      <c r="J66" s="423"/>
      <c r="K66" s="423"/>
    </row>
    <row r="67" spans="1:11" x14ac:dyDescent="0.3">
      <c r="A67" s="281" t="s">
        <v>530</v>
      </c>
      <c r="B67" s="311"/>
      <c r="C67" s="311"/>
      <c r="D67" s="311"/>
      <c r="E67" s="283" t="str">
        <f t="shared" si="2"/>
        <v/>
      </c>
      <c r="F67" s="283" t="str">
        <f t="shared" si="3"/>
        <v/>
      </c>
      <c r="G67" s="423"/>
      <c r="H67" s="423"/>
      <c r="I67" s="423"/>
      <c r="J67" s="423"/>
      <c r="K67" s="423"/>
    </row>
    <row r="68" spans="1:11" x14ac:dyDescent="0.3">
      <c r="A68" s="281" t="s">
        <v>531</v>
      </c>
      <c r="B68" s="311"/>
      <c r="C68" s="311"/>
      <c r="D68" s="311"/>
      <c r="E68" s="283" t="str">
        <f t="shared" si="2"/>
        <v/>
      </c>
      <c r="F68" s="283" t="str">
        <f t="shared" si="3"/>
        <v/>
      </c>
      <c r="G68" s="423"/>
      <c r="H68" s="423"/>
      <c r="I68" s="423"/>
      <c r="J68" s="423"/>
      <c r="K68" s="423"/>
    </row>
    <row r="69" spans="1:11" x14ac:dyDescent="0.3">
      <c r="A69" s="281" t="s">
        <v>532</v>
      </c>
      <c r="B69" s="311"/>
      <c r="C69" s="311"/>
      <c r="D69" s="311"/>
      <c r="E69" s="283" t="str">
        <f t="shared" si="2"/>
        <v/>
      </c>
      <c r="F69" s="283" t="str">
        <f t="shared" si="3"/>
        <v/>
      </c>
      <c r="G69" s="423"/>
      <c r="H69" s="423"/>
      <c r="I69" s="423"/>
      <c r="J69" s="423"/>
      <c r="K69" s="423"/>
    </row>
    <row r="70" spans="1:11" x14ac:dyDescent="0.3">
      <c r="A70" s="281" t="s">
        <v>533</v>
      </c>
      <c r="B70" s="311"/>
      <c r="C70" s="311"/>
      <c r="D70" s="311"/>
      <c r="E70" s="283" t="str">
        <f t="shared" si="2"/>
        <v/>
      </c>
      <c r="F70" s="283" t="str">
        <f t="shared" si="3"/>
        <v/>
      </c>
      <c r="G70" s="423"/>
      <c r="H70" s="423"/>
      <c r="I70" s="423"/>
      <c r="J70" s="423"/>
      <c r="K70" s="423"/>
    </row>
    <row r="71" spans="1:11" x14ac:dyDescent="0.3">
      <c r="A71" s="281" t="s">
        <v>534</v>
      </c>
      <c r="B71" s="311"/>
      <c r="C71" s="311"/>
      <c r="D71" s="311"/>
      <c r="E71" s="283" t="str">
        <f t="shared" si="2"/>
        <v/>
      </c>
      <c r="F71" s="283" t="str">
        <f t="shared" si="3"/>
        <v/>
      </c>
      <c r="G71" s="423"/>
      <c r="H71" s="423"/>
      <c r="I71" s="423"/>
      <c r="J71" s="423"/>
      <c r="K71" s="423"/>
    </row>
    <row r="72" spans="1:11" x14ac:dyDescent="0.3">
      <c r="A72" s="285" t="s">
        <v>535</v>
      </c>
      <c r="B72" s="286">
        <f>SUM(B73:B75)</f>
        <v>0</v>
      </c>
      <c r="C72" s="286">
        <f>SUM(C73:C75)</f>
        <v>0</v>
      </c>
      <c r="D72" s="286">
        <f>SUM(D73:D75)</f>
        <v>0</v>
      </c>
      <c r="E72" s="283" t="str">
        <f t="shared" si="2"/>
        <v/>
      </c>
      <c r="F72" s="283" t="str">
        <f t="shared" si="3"/>
        <v/>
      </c>
      <c r="G72" s="415"/>
      <c r="H72" s="415"/>
      <c r="I72" s="415"/>
      <c r="J72" s="415"/>
      <c r="K72" s="415"/>
    </row>
    <row r="73" spans="1:11" x14ac:dyDescent="0.3">
      <c r="A73" s="281" t="s">
        <v>536</v>
      </c>
      <c r="B73" s="311"/>
      <c r="C73" s="311"/>
      <c r="D73" s="311"/>
      <c r="E73" s="283" t="str">
        <f t="shared" si="2"/>
        <v/>
      </c>
      <c r="F73" s="283" t="str">
        <f t="shared" si="3"/>
        <v/>
      </c>
      <c r="G73" s="416" t="s">
        <v>568</v>
      </c>
      <c r="H73" s="416"/>
      <c r="I73" s="416"/>
      <c r="J73" s="416"/>
      <c r="K73" s="416"/>
    </row>
    <row r="74" spans="1:11" x14ac:dyDescent="0.3">
      <c r="A74" s="281" t="s">
        <v>537</v>
      </c>
      <c r="B74" s="311"/>
      <c r="C74" s="311"/>
      <c r="D74" s="311"/>
      <c r="E74" s="283" t="str">
        <f t="shared" si="2"/>
        <v/>
      </c>
      <c r="F74" s="283" t="str">
        <f t="shared" si="3"/>
        <v/>
      </c>
      <c r="G74" s="416"/>
      <c r="H74" s="416"/>
      <c r="I74" s="416"/>
      <c r="J74" s="416"/>
      <c r="K74" s="416"/>
    </row>
    <row r="75" spans="1:11" x14ac:dyDescent="0.3">
      <c r="A75" s="281" t="s">
        <v>538</v>
      </c>
      <c r="B75" s="311"/>
      <c r="C75" s="311"/>
      <c r="D75" s="311"/>
      <c r="E75" s="283" t="str">
        <f t="shared" si="2"/>
        <v/>
      </c>
      <c r="F75" s="283" t="str">
        <f t="shared" si="3"/>
        <v/>
      </c>
      <c r="G75" s="416"/>
      <c r="H75" s="416"/>
      <c r="I75" s="416"/>
      <c r="J75" s="416"/>
      <c r="K75" s="416"/>
    </row>
    <row r="76" spans="1:11" x14ac:dyDescent="0.3">
      <c r="A76" s="285" t="s">
        <v>539</v>
      </c>
      <c r="B76" s="286">
        <f>B63+B64+B72</f>
        <v>0</v>
      </c>
      <c r="C76" s="286">
        <f>C63+C64+C72</f>
        <v>0</v>
      </c>
      <c r="D76" s="286">
        <f>D63+D64+D72</f>
        <v>0</v>
      </c>
      <c r="E76" s="283" t="str">
        <f t="shared" si="2"/>
        <v/>
      </c>
      <c r="F76" s="283" t="str">
        <f t="shared" si="3"/>
        <v/>
      </c>
      <c r="G76" s="415"/>
      <c r="H76" s="415"/>
      <c r="I76" s="415"/>
      <c r="J76" s="415"/>
      <c r="K76" s="415"/>
    </row>
    <row r="77" spans="1:11" x14ac:dyDescent="0.3">
      <c r="A77" s="300" t="s">
        <v>540</v>
      </c>
      <c r="B77" s="301">
        <f>B57-B76</f>
        <v>0</v>
      </c>
      <c r="C77" s="301">
        <f>C57-C76</f>
        <v>0</v>
      </c>
      <c r="D77" s="301">
        <f>D57-D76</f>
        <v>0</v>
      </c>
    </row>
    <row r="79" spans="1:11" x14ac:dyDescent="0.3">
      <c r="A79" s="302" t="s">
        <v>541</v>
      </c>
      <c r="B79" s="303">
        <f>B30</f>
        <v>45382</v>
      </c>
      <c r="C79" s="303">
        <f>C30</f>
        <v>45747</v>
      </c>
      <c r="D79" s="303">
        <f>D30</f>
        <v>46112</v>
      </c>
    </row>
    <row r="80" spans="1:11" x14ac:dyDescent="0.3">
      <c r="A80" s="304" t="s">
        <v>542</v>
      </c>
      <c r="B80" s="305">
        <f>B7</f>
        <v>0</v>
      </c>
      <c r="C80" s="305">
        <f>C7</f>
        <v>0</v>
      </c>
      <c r="D80" s="305">
        <f>D7</f>
        <v>0</v>
      </c>
    </row>
    <row r="81" spans="1:4" x14ac:dyDescent="0.3">
      <c r="A81" s="304" t="s">
        <v>482</v>
      </c>
      <c r="B81" s="305">
        <f>B17</f>
        <v>0</v>
      </c>
      <c r="C81" s="305">
        <f>C17</f>
        <v>0</v>
      </c>
      <c r="D81" s="305">
        <f>D17</f>
        <v>0</v>
      </c>
    </row>
    <row r="82" spans="1:4" x14ac:dyDescent="0.3">
      <c r="A82" s="304" t="s">
        <v>543</v>
      </c>
      <c r="B82" s="306">
        <f>IFERROR(B81/B80,0)</f>
        <v>0</v>
      </c>
      <c r="C82" s="306">
        <f>IFERROR(C81/C80,0)</f>
        <v>0</v>
      </c>
      <c r="D82" s="306">
        <f>IFERROR(D81/D80,0)</f>
        <v>0</v>
      </c>
    </row>
    <row r="83" spans="1:4" x14ac:dyDescent="0.3">
      <c r="A83" s="304" t="s">
        <v>544</v>
      </c>
      <c r="B83" s="305">
        <f>SUM(B18:B20)</f>
        <v>0</v>
      </c>
      <c r="C83" s="305">
        <f>SUM(C18:C20)</f>
        <v>0</v>
      </c>
      <c r="D83" s="305">
        <f>SUM(D18:D20)</f>
        <v>0</v>
      </c>
    </row>
    <row r="84" spans="1:4" x14ac:dyDescent="0.3">
      <c r="A84" s="304" t="s">
        <v>299</v>
      </c>
      <c r="B84" s="305">
        <f>B21</f>
        <v>0</v>
      </c>
      <c r="C84" s="305">
        <f>C21</f>
        <v>0</v>
      </c>
      <c r="D84" s="305">
        <f>D21</f>
        <v>0</v>
      </c>
    </row>
    <row r="85" spans="1:4" x14ac:dyDescent="0.3">
      <c r="A85" s="304" t="s">
        <v>545</v>
      </c>
      <c r="B85" s="305">
        <f>B23</f>
        <v>0</v>
      </c>
      <c r="C85" s="305">
        <f>C23</f>
        <v>0</v>
      </c>
      <c r="D85" s="305">
        <f>D23</f>
        <v>0</v>
      </c>
    </row>
    <row r="86" spans="1:4" x14ac:dyDescent="0.3">
      <c r="A86" s="304" t="s">
        <v>546</v>
      </c>
      <c r="B86" s="305">
        <f>B9</f>
        <v>0</v>
      </c>
      <c r="C86" s="305">
        <f>C9</f>
        <v>0</v>
      </c>
      <c r="D86" s="305">
        <f>D9</f>
        <v>0</v>
      </c>
    </row>
    <row r="87" spans="1:4" x14ac:dyDescent="0.3">
      <c r="A87" s="304" t="s">
        <v>547</v>
      </c>
      <c r="B87" s="305">
        <f>B24</f>
        <v>0</v>
      </c>
      <c r="C87" s="305">
        <f>C24</f>
        <v>0</v>
      </c>
      <c r="D87" s="305">
        <f>D24</f>
        <v>0</v>
      </c>
    </row>
    <row r="88" spans="1:4" x14ac:dyDescent="0.3">
      <c r="A88" s="304" t="s">
        <v>491</v>
      </c>
      <c r="B88" s="305">
        <f>B27</f>
        <v>0</v>
      </c>
      <c r="C88" s="305">
        <f>C27</f>
        <v>0</v>
      </c>
      <c r="D88" s="305">
        <f>D27</f>
        <v>0</v>
      </c>
    </row>
    <row r="89" spans="1:4" x14ac:dyDescent="0.3">
      <c r="A89" s="304" t="s">
        <v>524</v>
      </c>
      <c r="B89" s="305">
        <f>B61</f>
        <v>0</v>
      </c>
      <c r="C89" s="305">
        <f>C61</f>
        <v>0</v>
      </c>
      <c r="D89" s="305">
        <f>D61</f>
        <v>0</v>
      </c>
    </row>
    <row r="90" spans="1:4" x14ac:dyDescent="0.3">
      <c r="A90" s="304" t="s">
        <v>548</v>
      </c>
      <c r="B90" s="305">
        <f>B34</f>
        <v>0</v>
      </c>
      <c r="C90" s="305">
        <f>C34</f>
        <v>0</v>
      </c>
      <c r="D90" s="305">
        <f>D34</f>
        <v>0</v>
      </c>
    </row>
    <row r="91" spans="1:4" x14ac:dyDescent="0.3">
      <c r="A91" s="304" t="s">
        <v>549</v>
      </c>
      <c r="B91" s="305">
        <f>B38</f>
        <v>0</v>
      </c>
      <c r="C91" s="305">
        <f>C38</f>
        <v>0</v>
      </c>
      <c r="D91" s="305">
        <f>D38</f>
        <v>0</v>
      </c>
    </row>
    <row r="92" spans="1:4" x14ac:dyDescent="0.3">
      <c r="A92" s="304" t="s">
        <v>550</v>
      </c>
      <c r="B92" s="305">
        <f>B74</f>
        <v>0</v>
      </c>
      <c r="C92" s="305">
        <f>C74</f>
        <v>0</v>
      </c>
      <c r="D92" s="305">
        <f>D74</f>
        <v>0</v>
      </c>
    </row>
    <row r="93" spans="1:4" x14ac:dyDescent="0.3">
      <c r="A93" s="304" t="s">
        <v>551</v>
      </c>
      <c r="B93" s="305">
        <f>B52</f>
        <v>0</v>
      </c>
      <c r="C93" s="305">
        <f>C52</f>
        <v>0</v>
      </c>
      <c r="D93" s="305">
        <f>D52</f>
        <v>0</v>
      </c>
    </row>
    <row r="94" spans="1:4" x14ac:dyDescent="0.3">
      <c r="A94" s="307" t="s">
        <v>552</v>
      </c>
      <c r="B94" s="305">
        <f>B65</f>
        <v>0</v>
      </c>
      <c r="C94" s="305">
        <f>C65</f>
        <v>0</v>
      </c>
      <c r="D94" s="305">
        <f>D65</f>
        <v>0</v>
      </c>
    </row>
    <row r="95" spans="1:4" x14ac:dyDescent="0.3">
      <c r="A95" s="304" t="s">
        <v>553</v>
      </c>
      <c r="B95" s="305">
        <f>B45+B48</f>
        <v>0</v>
      </c>
      <c r="C95" s="305">
        <f>C45+C48</f>
        <v>0</v>
      </c>
      <c r="D95" s="305">
        <f>D45+D48</f>
        <v>0</v>
      </c>
    </row>
    <row r="96" spans="1:4" x14ac:dyDescent="0.3">
      <c r="A96" s="304" t="s">
        <v>554</v>
      </c>
      <c r="B96" s="308" t="str">
        <f>ROUND(IFERROR(B95/B91,0),2)&amp;" times"</f>
        <v>0 times</v>
      </c>
      <c r="C96" s="308" t="str">
        <f>ROUND(IFERROR(C95/C91,0),2)&amp;" times"</f>
        <v>0 times</v>
      </c>
      <c r="D96" s="308" t="str">
        <f>ROUND(IFERROR(D95/D91,0),2)&amp;" times"</f>
        <v>0 times</v>
      </c>
    </row>
    <row r="97" spans="1:4" x14ac:dyDescent="0.3">
      <c r="A97" s="304" t="s">
        <v>555</v>
      </c>
      <c r="B97" s="308">
        <f>IFERROR(ROUNDUP(B81/B83,2)&amp;" Times",0)</f>
        <v>0</v>
      </c>
      <c r="C97" s="308">
        <f>IFERROR(ROUNDUP(C81/C83,2)&amp;" Times",0)</f>
        <v>0</v>
      </c>
      <c r="D97" s="308">
        <f>IFERROR(ROUNDUP(D81/D83,2)&amp;" Times",0)</f>
        <v>0</v>
      </c>
    </row>
    <row r="1048560" hidden="1" x14ac:dyDescent="0.3"/>
  </sheetData>
  <mergeCells count="26">
    <mergeCell ref="G76:K76"/>
    <mergeCell ref="G59:K63"/>
    <mergeCell ref="G64:K64"/>
    <mergeCell ref="G65:K71"/>
    <mergeCell ref="G72:K72"/>
    <mergeCell ref="G73:K75"/>
    <mergeCell ref="G38:K38"/>
    <mergeCell ref="G39:K47"/>
    <mergeCell ref="G48:K48"/>
    <mergeCell ref="G49:K53"/>
    <mergeCell ref="G54:K58"/>
    <mergeCell ref="G18:K20"/>
    <mergeCell ref="G23:K28"/>
    <mergeCell ref="G29:K31"/>
    <mergeCell ref="E30:F30"/>
    <mergeCell ref="G32:K37"/>
    <mergeCell ref="G7:K7"/>
    <mergeCell ref="G8:K10"/>
    <mergeCell ref="G11:K11"/>
    <mergeCell ref="G12:K16"/>
    <mergeCell ref="G17:K17"/>
    <mergeCell ref="A1:F1"/>
    <mergeCell ref="B2:F2"/>
    <mergeCell ref="E3:F3"/>
    <mergeCell ref="G3:K3"/>
    <mergeCell ref="G4:K6"/>
  </mergeCells>
  <dataValidations count="1">
    <dataValidation type="list" showInputMessage="1" showErrorMessage="1" sqref="B3:D3" xr:uid="{00000000-0002-0000-1000-000000000000}">
      <formula1>"Audited,Unaudited,Provisional"</formula1>
      <formula2>0</formula2>
    </dataValidation>
  </dataValidations>
  <pageMargins left="0.2" right="0.2" top="0.2" bottom="0.2" header="0.511811023622047" footer="0.1"/>
  <pageSetup scale="49" orientation="portrait" horizontalDpi="300" verticalDpi="300"/>
  <headerFooter>
    <oddFooter>&amp;C&amp;F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C55A11"/>
  </sheetPr>
  <dimension ref="A1:AMJ1048560"/>
  <sheetViews>
    <sheetView zoomScaleNormal="100" workbookViewId="0">
      <pane ySplit="3" topLeftCell="A4" activePane="bottomLeft" state="frozen"/>
      <selection pane="bottomLeft" activeCell="C19" sqref="C19"/>
    </sheetView>
  </sheetViews>
  <sheetFormatPr defaultColWidth="9.109375" defaultRowHeight="14.4" x14ac:dyDescent="0.3"/>
  <cols>
    <col min="1" max="1" width="56.109375" style="271" customWidth="1"/>
    <col min="2" max="2" width="18" style="272" customWidth="1"/>
    <col min="3" max="4" width="15.88671875" style="272" customWidth="1"/>
    <col min="5" max="5" width="12.109375" style="271" customWidth="1"/>
    <col min="6" max="6" width="13.44140625" style="271" customWidth="1"/>
    <col min="7" max="7" width="24.33203125" style="271" customWidth="1"/>
    <col min="8" max="8" width="15.33203125" style="271" customWidth="1"/>
    <col min="9" max="1024" width="9.109375" style="271"/>
    <col min="1025" max="16384" width="9.109375" style="273"/>
  </cols>
  <sheetData>
    <row r="1" spans="1:11" s="274" customFormat="1" ht="18.75" customHeight="1" x14ac:dyDescent="0.3">
      <c r="A1" s="408" t="s">
        <v>466</v>
      </c>
      <c r="B1" s="408"/>
      <c r="C1" s="408"/>
      <c r="D1" s="408"/>
      <c r="E1" s="408"/>
      <c r="F1" s="408"/>
    </row>
    <row r="2" spans="1:11" ht="18.75" customHeight="1" x14ac:dyDescent="0.3">
      <c r="A2" s="275" t="s">
        <v>467</v>
      </c>
      <c r="B2" s="421"/>
      <c r="C2" s="421"/>
      <c r="D2" s="421"/>
      <c r="E2" s="421"/>
      <c r="F2" s="421"/>
    </row>
    <row r="3" spans="1:11" ht="15" customHeight="1" x14ac:dyDescent="0.3">
      <c r="A3" s="276" t="s">
        <v>398</v>
      </c>
      <c r="B3" s="309" t="s">
        <v>569</v>
      </c>
      <c r="C3" s="309" t="s">
        <v>556</v>
      </c>
      <c r="D3" s="309" t="s">
        <v>556</v>
      </c>
      <c r="E3" s="410" t="s">
        <v>469</v>
      </c>
      <c r="F3" s="410"/>
      <c r="G3" s="422" t="s">
        <v>557</v>
      </c>
      <c r="H3" s="422"/>
      <c r="I3" s="422"/>
      <c r="J3" s="422"/>
      <c r="K3" s="422"/>
    </row>
    <row r="4" spans="1:11" x14ac:dyDescent="0.3">
      <c r="A4" s="278" t="s">
        <v>470</v>
      </c>
      <c r="B4" s="310">
        <v>45382</v>
      </c>
      <c r="C4" s="310">
        <v>45747</v>
      </c>
      <c r="D4" s="310">
        <v>46112</v>
      </c>
      <c r="E4" s="280">
        <f>C4</f>
        <v>45747</v>
      </c>
      <c r="F4" s="280">
        <f>D4</f>
        <v>46112</v>
      </c>
      <c r="G4" s="423" t="s">
        <v>570</v>
      </c>
      <c r="H4" s="423"/>
      <c r="I4" s="423"/>
      <c r="J4" s="423"/>
      <c r="K4" s="423"/>
    </row>
    <row r="5" spans="1:11" x14ac:dyDescent="0.3">
      <c r="A5" s="281" t="s">
        <v>471</v>
      </c>
      <c r="B5" s="311"/>
      <c r="C5" s="311"/>
      <c r="D5" s="311"/>
      <c r="E5" s="283" t="str">
        <f t="shared" ref="E5:E28" si="0">IF(B5=0,"",(C5-B5)/B5)</f>
        <v/>
      </c>
      <c r="F5" s="283" t="str">
        <f t="shared" ref="F5:F28" si="1">IF(C5=0,"",(D5-C5)/C5)</f>
        <v/>
      </c>
      <c r="G5" s="423"/>
      <c r="H5" s="423"/>
      <c r="I5" s="423"/>
      <c r="J5" s="423"/>
      <c r="K5" s="423"/>
    </row>
    <row r="6" spans="1:11" x14ac:dyDescent="0.3">
      <c r="A6" s="284" t="s">
        <v>472</v>
      </c>
      <c r="B6" s="311"/>
      <c r="C6" s="311"/>
      <c r="D6" s="311"/>
      <c r="E6" s="283" t="str">
        <f t="shared" si="0"/>
        <v/>
      </c>
      <c r="F6" s="283" t="str">
        <f t="shared" si="1"/>
        <v/>
      </c>
      <c r="G6" s="423"/>
      <c r="H6" s="423"/>
      <c r="I6" s="423"/>
      <c r="J6" s="423"/>
      <c r="K6" s="423"/>
    </row>
    <row r="7" spans="1:11" x14ac:dyDescent="0.3">
      <c r="A7" s="285" t="s">
        <v>473</v>
      </c>
      <c r="B7" s="286">
        <f>B5+B6</f>
        <v>0</v>
      </c>
      <c r="C7" s="286">
        <f>C5+C6</f>
        <v>0</v>
      </c>
      <c r="D7" s="286">
        <f>D5+D6</f>
        <v>0</v>
      </c>
      <c r="E7" s="283" t="str">
        <f t="shared" si="0"/>
        <v/>
      </c>
      <c r="F7" s="283" t="str">
        <f t="shared" si="1"/>
        <v/>
      </c>
      <c r="G7" s="415"/>
      <c r="H7" s="415"/>
      <c r="I7" s="415"/>
      <c r="J7" s="415"/>
      <c r="K7" s="415"/>
    </row>
    <row r="8" spans="1:11" x14ac:dyDescent="0.3">
      <c r="A8" s="281" t="s">
        <v>474</v>
      </c>
      <c r="B8" s="311"/>
      <c r="C8" s="311"/>
      <c r="D8" s="311"/>
      <c r="E8" s="283" t="str">
        <f t="shared" si="0"/>
        <v/>
      </c>
      <c r="F8" s="283" t="str">
        <f t="shared" si="1"/>
        <v/>
      </c>
      <c r="G8" s="423" t="s">
        <v>559</v>
      </c>
      <c r="H8" s="423"/>
      <c r="I8" s="423"/>
      <c r="J8" s="423"/>
      <c r="K8" s="423"/>
    </row>
    <row r="9" spans="1:11" x14ac:dyDescent="0.3">
      <c r="A9" s="285" t="s">
        <v>475</v>
      </c>
      <c r="B9" s="286">
        <f>SUM(B8:B8)</f>
        <v>0</v>
      </c>
      <c r="C9" s="286">
        <f>SUM(C8:C8)</f>
        <v>0</v>
      </c>
      <c r="D9" s="286">
        <f>SUM(D8:D8)</f>
        <v>0</v>
      </c>
      <c r="E9" s="283" t="str">
        <f t="shared" si="0"/>
        <v/>
      </c>
      <c r="F9" s="283" t="str">
        <f t="shared" si="1"/>
        <v/>
      </c>
      <c r="G9" s="423"/>
      <c r="H9" s="423"/>
      <c r="I9" s="423"/>
      <c r="J9" s="423"/>
      <c r="K9" s="423"/>
    </row>
    <row r="10" spans="1:11" x14ac:dyDescent="0.3">
      <c r="A10" s="285" t="s">
        <v>476</v>
      </c>
      <c r="B10" s="286">
        <f>B7+B9</f>
        <v>0</v>
      </c>
      <c r="C10" s="286">
        <f>C7+C9</f>
        <v>0</v>
      </c>
      <c r="D10" s="286">
        <f>D7+D9</f>
        <v>0</v>
      </c>
      <c r="E10" s="283" t="str">
        <f t="shared" si="0"/>
        <v/>
      </c>
      <c r="F10" s="283" t="str">
        <f t="shared" si="1"/>
        <v/>
      </c>
      <c r="G10" s="423"/>
      <c r="H10" s="423"/>
      <c r="I10" s="423"/>
      <c r="J10" s="423"/>
      <c r="K10" s="423"/>
    </row>
    <row r="11" spans="1:11" s="288" customFormat="1" x14ac:dyDescent="0.3">
      <c r="A11" s="287" t="s">
        <v>355</v>
      </c>
      <c r="B11" s="311"/>
      <c r="C11" s="311"/>
      <c r="D11" s="311"/>
      <c r="E11" s="283" t="str">
        <f t="shared" si="0"/>
        <v/>
      </c>
      <c r="F11" s="283" t="str">
        <f t="shared" si="1"/>
        <v/>
      </c>
      <c r="G11" s="415"/>
      <c r="H11" s="415"/>
      <c r="I11" s="415"/>
      <c r="J11" s="415"/>
      <c r="K11" s="415"/>
    </row>
    <row r="12" spans="1:11" x14ac:dyDescent="0.3">
      <c r="A12" s="281" t="s">
        <v>477</v>
      </c>
      <c r="B12" s="311"/>
      <c r="C12" s="311"/>
      <c r="D12" s="311"/>
      <c r="E12" s="283" t="str">
        <f t="shared" si="0"/>
        <v/>
      </c>
      <c r="F12" s="283" t="str">
        <f t="shared" si="1"/>
        <v/>
      </c>
      <c r="G12" s="424" t="s">
        <v>560</v>
      </c>
      <c r="H12" s="424"/>
      <c r="I12" s="424"/>
      <c r="J12" s="424"/>
      <c r="K12" s="424"/>
    </row>
    <row r="13" spans="1:11" x14ac:dyDescent="0.3">
      <c r="A13" s="281" t="s">
        <v>478</v>
      </c>
      <c r="B13" s="311"/>
      <c r="C13" s="311"/>
      <c r="D13" s="311"/>
      <c r="E13" s="283" t="str">
        <f t="shared" si="0"/>
        <v/>
      </c>
      <c r="F13" s="283" t="str">
        <f t="shared" si="1"/>
        <v/>
      </c>
      <c r="G13" s="424"/>
      <c r="H13" s="424"/>
      <c r="I13" s="424"/>
      <c r="J13" s="424"/>
      <c r="K13" s="424"/>
    </row>
    <row r="14" spans="1:11" x14ac:dyDescent="0.3">
      <c r="A14" s="281" t="s">
        <v>479</v>
      </c>
      <c r="B14" s="311"/>
      <c r="C14" s="311"/>
      <c r="D14" s="311"/>
      <c r="E14" s="283" t="str">
        <f t="shared" si="0"/>
        <v/>
      </c>
      <c r="F14" s="283" t="str">
        <f t="shared" si="1"/>
        <v/>
      </c>
      <c r="G14" s="424"/>
      <c r="H14" s="424"/>
      <c r="I14" s="424"/>
      <c r="J14" s="424"/>
      <c r="K14" s="424"/>
    </row>
    <row r="15" spans="1:11" x14ac:dyDescent="0.3">
      <c r="A15" s="281" t="s">
        <v>480</v>
      </c>
      <c r="B15" s="311"/>
      <c r="C15" s="311"/>
      <c r="D15" s="311"/>
      <c r="E15" s="283" t="str">
        <f t="shared" si="0"/>
        <v/>
      </c>
      <c r="F15" s="283" t="str">
        <f t="shared" si="1"/>
        <v/>
      </c>
      <c r="G15" s="424"/>
      <c r="H15" s="424"/>
      <c r="I15" s="424"/>
      <c r="J15" s="424"/>
      <c r="K15" s="424"/>
    </row>
    <row r="16" spans="1:11" x14ac:dyDescent="0.3">
      <c r="A16" s="281" t="s">
        <v>481</v>
      </c>
      <c r="B16" s="311"/>
      <c r="C16" s="311"/>
      <c r="D16" s="311"/>
      <c r="E16" s="283" t="str">
        <f t="shared" si="0"/>
        <v/>
      </c>
      <c r="F16" s="283" t="str">
        <f t="shared" si="1"/>
        <v/>
      </c>
      <c r="G16" s="424"/>
      <c r="H16" s="424"/>
      <c r="I16" s="424"/>
      <c r="J16" s="424"/>
      <c r="K16" s="424"/>
    </row>
    <row r="17" spans="1:11" x14ac:dyDescent="0.3">
      <c r="A17" s="285" t="s">
        <v>482</v>
      </c>
      <c r="B17" s="286">
        <f>B7-SUM(B11:B16)</f>
        <v>0</v>
      </c>
      <c r="C17" s="286">
        <f>C7-SUM(C11:C16)</f>
        <v>0</v>
      </c>
      <c r="D17" s="286">
        <f>D7-SUM(D11:D16)</f>
        <v>0</v>
      </c>
      <c r="E17" s="283" t="str">
        <f t="shared" si="0"/>
        <v/>
      </c>
      <c r="F17" s="283" t="str">
        <f t="shared" si="1"/>
        <v/>
      </c>
      <c r="G17" s="415"/>
      <c r="H17" s="415"/>
      <c r="I17" s="415"/>
      <c r="J17" s="415"/>
      <c r="K17" s="415"/>
    </row>
    <row r="18" spans="1:11" x14ac:dyDescent="0.3">
      <c r="A18" s="281" t="s">
        <v>483</v>
      </c>
      <c r="B18" s="311"/>
      <c r="C18" s="311"/>
      <c r="D18" s="311"/>
      <c r="E18" s="283" t="str">
        <f t="shared" si="0"/>
        <v/>
      </c>
      <c r="F18" s="283" t="str">
        <f t="shared" si="1"/>
        <v/>
      </c>
      <c r="G18" s="423" t="s">
        <v>561</v>
      </c>
      <c r="H18" s="423"/>
      <c r="I18" s="423"/>
      <c r="J18" s="423"/>
      <c r="K18" s="423"/>
    </row>
    <row r="19" spans="1:11" x14ac:dyDescent="0.3">
      <c r="A19" s="281" t="s">
        <v>484</v>
      </c>
      <c r="B19" s="311"/>
      <c r="C19" s="311"/>
      <c r="D19" s="311"/>
      <c r="E19" s="283" t="str">
        <f t="shared" si="0"/>
        <v/>
      </c>
      <c r="F19" s="283" t="str">
        <f t="shared" si="1"/>
        <v/>
      </c>
      <c r="G19" s="423"/>
      <c r="H19" s="423"/>
      <c r="I19" s="423"/>
      <c r="J19" s="423"/>
      <c r="K19" s="423"/>
    </row>
    <row r="20" spans="1:11" x14ac:dyDescent="0.3">
      <c r="A20" s="281" t="s">
        <v>485</v>
      </c>
      <c r="B20" s="311"/>
      <c r="C20" s="311"/>
      <c r="D20" s="311"/>
      <c r="E20" s="283" t="str">
        <f t="shared" si="0"/>
        <v/>
      </c>
      <c r="F20" s="283" t="str">
        <f t="shared" si="1"/>
        <v/>
      </c>
      <c r="G20" s="423"/>
      <c r="H20" s="423"/>
      <c r="I20" s="423"/>
      <c r="J20" s="423"/>
      <c r="K20" s="423"/>
    </row>
    <row r="21" spans="1:11" x14ac:dyDescent="0.3">
      <c r="A21" s="281" t="s">
        <v>299</v>
      </c>
      <c r="B21" s="311"/>
      <c r="C21" s="311"/>
      <c r="D21" s="311"/>
      <c r="E21" s="283" t="str">
        <f t="shared" si="0"/>
        <v/>
      </c>
      <c r="F21" s="283" t="str">
        <f t="shared" si="1"/>
        <v/>
      </c>
      <c r="G21" s="312"/>
      <c r="H21" s="313"/>
      <c r="I21" s="313"/>
      <c r="J21" s="313"/>
      <c r="K21" s="314"/>
    </row>
    <row r="22" spans="1:11" x14ac:dyDescent="0.3">
      <c r="A22" s="281" t="s">
        <v>486</v>
      </c>
      <c r="B22" s="311"/>
      <c r="C22" s="311"/>
      <c r="D22" s="311"/>
      <c r="E22" s="283" t="str">
        <f t="shared" si="0"/>
        <v/>
      </c>
      <c r="F22" s="283" t="str">
        <f t="shared" si="1"/>
        <v/>
      </c>
      <c r="G22" s="315"/>
      <c r="H22" s="316"/>
      <c r="I22" s="316"/>
      <c r="J22" s="316"/>
      <c r="K22" s="317"/>
    </row>
    <row r="23" spans="1:11" x14ac:dyDescent="0.3">
      <c r="A23" s="285" t="s">
        <v>487</v>
      </c>
      <c r="B23" s="286">
        <f>B17-SUM(B18:B22)</f>
        <v>0</v>
      </c>
      <c r="C23" s="286">
        <f>C17-SUM(C18:C22)</f>
        <v>0</v>
      </c>
      <c r="D23" s="286">
        <f>D17-SUM(D18:D22)</f>
        <v>0</v>
      </c>
      <c r="E23" s="283" t="str">
        <f t="shared" si="0"/>
        <v/>
      </c>
      <c r="F23" s="283" t="str">
        <f t="shared" si="1"/>
        <v/>
      </c>
      <c r="G23" s="425" t="s">
        <v>562</v>
      </c>
      <c r="H23" s="425"/>
      <c r="I23" s="425"/>
      <c r="J23" s="425"/>
      <c r="K23" s="425"/>
    </row>
    <row r="24" spans="1:11" x14ac:dyDescent="0.3">
      <c r="A24" s="285" t="s">
        <v>488</v>
      </c>
      <c r="B24" s="289">
        <f>B23+B9</f>
        <v>0</v>
      </c>
      <c r="C24" s="289">
        <f>C23+C9</f>
        <v>0</v>
      </c>
      <c r="D24" s="289">
        <f>D23+D9</f>
        <v>0</v>
      </c>
      <c r="E24" s="283" t="str">
        <f t="shared" si="0"/>
        <v/>
      </c>
      <c r="F24" s="283" t="str">
        <f t="shared" si="1"/>
        <v/>
      </c>
      <c r="G24" s="425"/>
      <c r="H24" s="425"/>
      <c r="I24" s="425"/>
      <c r="J24" s="425"/>
      <c r="K24" s="425"/>
    </row>
    <row r="25" spans="1:11" x14ac:dyDescent="0.3">
      <c r="A25" s="281" t="s">
        <v>489</v>
      </c>
      <c r="B25" s="311"/>
      <c r="C25" s="311"/>
      <c r="D25" s="311"/>
      <c r="E25" s="283" t="str">
        <f t="shared" si="0"/>
        <v/>
      </c>
      <c r="F25" s="283" t="str">
        <f t="shared" si="1"/>
        <v/>
      </c>
      <c r="G25" s="425"/>
      <c r="H25" s="425"/>
      <c r="I25" s="425"/>
      <c r="J25" s="425"/>
      <c r="K25" s="425"/>
    </row>
    <row r="26" spans="1:11" x14ac:dyDescent="0.3">
      <c r="A26" s="285" t="s">
        <v>490</v>
      </c>
      <c r="B26" s="286">
        <f>B24-B25</f>
        <v>0</v>
      </c>
      <c r="C26" s="286">
        <f>C24-C25</f>
        <v>0</v>
      </c>
      <c r="D26" s="286">
        <f>D24-D25</f>
        <v>0</v>
      </c>
      <c r="E26" s="283" t="str">
        <f t="shared" si="0"/>
        <v/>
      </c>
      <c r="F26" s="283" t="str">
        <f t="shared" si="1"/>
        <v/>
      </c>
      <c r="G26" s="425"/>
      <c r="H26" s="425"/>
      <c r="I26" s="425"/>
      <c r="J26" s="425"/>
      <c r="K26" s="425"/>
    </row>
    <row r="27" spans="1:11" x14ac:dyDescent="0.3">
      <c r="A27" s="285" t="s">
        <v>491</v>
      </c>
      <c r="B27" s="286">
        <f>B23-B25</f>
        <v>0</v>
      </c>
      <c r="C27" s="286">
        <f>C23-C25</f>
        <v>0</v>
      </c>
      <c r="D27" s="286">
        <f>D23-D25</f>
        <v>0</v>
      </c>
      <c r="E27" s="283" t="str">
        <f t="shared" si="0"/>
        <v/>
      </c>
      <c r="F27" s="283" t="str">
        <f t="shared" si="1"/>
        <v/>
      </c>
      <c r="G27" s="425"/>
      <c r="H27" s="425"/>
      <c r="I27" s="425"/>
      <c r="J27" s="425"/>
      <c r="K27" s="425"/>
    </row>
    <row r="28" spans="1:11" x14ac:dyDescent="0.3">
      <c r="A28" s="285" t="s">
        <v>492</v>
      </c>
      <c r="B28" s="286">
        <f>B27+B22+B21</f>
        <v>0</v>
      </c>
      <c r="C28" s="286">
        <f>C27+C22+C21</f>
        <v>0</v>
      </c>
      <c r="D28" s="286">
        <f>D27+D22+D21</f>
        <v>0</v>
      </c>
      <c r="E28" s="283" t="str">
        <f t="shared" si="0"/>
        <v/>
      </c>
      <c r="F28" s="283" t="str">
        <f t="shared" si="1"/>
        <v/>
      </c>
      <c r="G28" s="425"/>
      <c r="H28" s="425"/>
      <c r="I28" s="425"/>
      <c r="J28" s="425"/>
      <c r="K28" s="425"/>
    </row>
    <row r="29" spans="1:11" x14ac:dyDescent="0.3">
      <c r="A29" s="290"/>
      <c r="B29" s="291"/>
      <c r="C29" s="291"/>
      <c r="D29" s="291"/>
      <c r="E29" s="292" t="str">
        <f>IF(B29=0,"",(C29-B29)/B29)</f>
        <v/>
      </c>
      <c r="F29" s="292"/>
      <c r="G29" s="415"/>
      <c r="H29" s="415"/>
      <c r="I29" s="415"/>
      <c r="J29" s="415"/>
      <c r="K29" s="415"/>
    </row>
    <row r="30" spans="1:11" s="274" customFormat="1" x14ac:dyDescent="0.3">
      <c r="A30" s="278" t="s">
        <v>493</v>
      </c>
      <c r="B30" s="293">
        <f>B4</f>
        <v>45382</v>
      </c>
      <c r="C30" s="293">
        <f>C4</f>
        <v>45747</v>
      </c>
      <c r="D30" s="293">
        <f>D4</f>
        <v>46112</v>
      </c>
      <c r="E30" s="411" t="s">
        <v>469</v>
      </c>
      <c r="F30" s="411"/>
      <c r="G30" s="415"/>
      <c r="H30" s="415"/>
      <c r="I30" s="415"/>
      <c r="J30" s="415"/>
      <c r="K30" s="415"/>
    </row>
    <row r="31" spans="1:11" x14ac:dyDescent="0.3">
      <c r="A31" s="278" t="s">
        <v>494</v>
      </c>
      <c r="B31" s="294"/>
      <c r="C31" s="294"/>
      <c r="D31" s="294"/>
      <c r="E31" s="295">
        <f>E4</f>
        <v>45747</v>
      </c>
      <c r="F31" s="295">
        <f>F4</f>
        <v>46112</v>
      </c>
      <c r="G31" s="415"/>
      <c r="H31" s="415"/>
      <c r="I31" s="415"/>
      <c r="J31" s="415"/>
      <c r="K31" s="415"/>
    </row>
    <row r="32" spans="1:11" x14ac:dyDescent="0.3">
      <c r="A32" s="281" t="s">
        <v>495</v>
      </c>
      <c r="B32" s="311"/>
      <c r="C32" s="311"/>
      <c r="D32" s="311"/>
      <c r="E32" s="283" t="str">
        <f t="shared" ref="E32:E76" si="2">IF(B32=0,"",(C32-B32)/B32)</f>
        <v/>
      </c>
      <c r="F32" s="283" t="str">
        <f t="shared" ref="F32:F76" si="3">IF(C32=0,"",(D32-C32)/C32)</f>
        <v/>
      </c>
      <c r="G32" s="423" t="s">
        <v>563</v>
      </c>
      <c r="H32" s="423"/>
      <c r="I32" s="423"/>
      <c r="J32" s="423"/>
      <c r="K32" s="423"/>
    </row>
    <row r="33" spans="1:11" x14ac:dyDescent="0.3">
      <c r="A33" s="281" t="s">
        <v>496</v>
      </c>
      <c r="B33" s="311"/>
      <c r="C33" s="311"/>
      <c r="D33" s="311"/>
      <c r="E33" s="283" t="str">
        <f t="shared" si="2"/>
        <v/>
      </c>
      <c r="F33" s="283" t="str">
        <f t="shared" si="3"/>
        <v/>
      </c>
      <c r="G33" s="423"/>
      <c r="H33" s="423"/>
      <c r="I33" s="423"/>
      <c r="J33" s="423"/>
      <c r="K33" s="423"/>
    </row>
    <row r="34" spans="1:11" x14ac:dyDescent="0.3">
      <c r="A34" s="285" t="s">
        <v>497</v>
      </c>
      <c r="B34" s="286">
        <f>B32+B33</f>
        <v>0</v>
      </c>
      <c r="C34" s="286">
        <f>C32+C33</f>
        <v>0</v>
      </c>
      <c r="D34" s="286">
        <f>D32+D33</f>
        <v>0</v>
      </c>
      <c r="E34" s="283" t="str">
        <f t="shared" si="2"/>
        <v/>
      </c>
      <c r="F34" s="283" t="str">
        <f t="shared" si="3"/>
        <v/>
      </c>
      <c r="G34" s="423"/>
      <c r="H34" s="423"/>
      <c r="I34" s="423"/>
      <c r="J34" s="423"/>
      <c r="K34" s="423"/>
    </row>
    <row r="35" spans="1:11" x14ac:dyDescent="0.3">
      <c r="A35" s="281" t="s">
        <v>498</v>
      </c>
      <c r="B35" s="311"/>
      <c r="C35" s="311"/>
      <c r="D35" s="311"/>
      <c r="E35" s="283" t="str">
        <f t="shared" si="2"/>
        <v/>
      </c>
      <c r="F35" s="283" t="str">
        <f t="shared" si="3"/>
        <v/>
      </c>
      <c r="G35" s="423"/>
      <c r="H35" s="423"/>
      <c r="I35" s="423"/>
      <c r="J35" s="423"/>
      <c r="K35" s="423"/>
    </row>
    <row r="36" spans="1:11" x14ac:dyDescent="0.3">
      <c r="A36" s="285" t="s">
        <v>499</v>
      </c>
      <c r="B36" s="286">
        <f>B34+B35</f>
        <v>0</v>
      </c>
      <c r="C36" s="286">
        <f>C34+C35</f>
        <v>0</v>
      </c>
      <c r="D36" s="286">
        <f>D34+D35</f>
        <v>0</v>
      </c>
      <c r="E36" s="283" t="str">
        <f t="shared" si="2"/>
        <v/>
      </c>
      <c r="F36" s="283" t="str">
        <f t="shared" si="3"/>
        <v/>
      </c>
      <c r="G36" s="423"/>
      <c r="H36" s="423"/>
      <c r="I36" s="423"/>
      <c r="J36" s="423"/>
      <c r="K36" s="423"/>
    </row>
    <row r="37" spans="1:11" x14ac:dyDescent="0.3">
      <c r="A37" s="281" t="s">
        <v>500</v>
      </c>
      <c r="B37" s="311">
        <v>0</v>
      </c>
      <c r="C37" s="311"/>
      <c r="D37" s="311">
        <v>0</v>
      </c>
      <c r="E37" s="283" t="str">
        <f t="shared" si="2"/>
        <v/>
      </c>
      <c r="F37" s="283" t="str">
        <f t="shared" si="3"/>
        <v/>
      </c>
      <c r="G37" s="423"/>
      <c r="H37" s="423"/>
      <c r="I37" s="423"/>
      <c r="J37" s="423"/>
      <c r="K37" s="423"/>
    </row>
    <row r="38" spans="1:11" x14ac:dyDescent="0.3">
      <c r="A38" s="285" t="s">
        <v>501</v>
      </c>
      <c r="B38" s="286">
        <f>B36-B74-B62</f>
        <v>0</v>
      </c>
      <c r="C38" s="286">
        <f>C36-C74-C62</f>
        <v>0</v>
      </c>
      <c r="D38" s="286">
        <f>D36-D74-D62</f>
        <v>0</v>
      </c>
      <c r="E38" s="283" t="str">
        <f t="shared" si="2"/>
        <v/>
      </c>
      <c r="F38" s="283" t="str">
        <f t="shared" si="3"/>
        <v/>
      </c>
      <c r="G38" s="415"/>
      <c r="H38" s="415"/>
      <c r="I38" s="415"/>
      <c r="J38" s="415"/>
      <c r="K38" s="415"/>
    </row>
    <row r="39" spans="1:11" x14ac:dyDescent="0.3">
      <c r="A39" s="296" t="s">
        <v>502</v>
      </c>
      <c r="B39" s="311"/>
      <c r="C39" s="311"/>
      <c r="D39" s="311"/>
      <c r="E39" s="283" t="str">
        <f t="shared" si="2"/>
        <v/>
      </c>
      <c r="F39" s="283" t="str">
        <f t="shared" si="3"/>
        <v/>
      </c>
      <c r="G39" s="423" t="s">
        <v>564</v>
      </c>
      <c r="H39" s="423"/>
      <c r="I39" s="423"/>
      <c r="J39" s="423"/>
      <c r="K39" s="423"/>
    </row>
    <row r="40" spans="1:11" x14ac:dyDescent="0.3">
      <c r="A40" s="281" t="s">
        <v>503</v>
      </c>
      <c r="B40" s="311"/>
      <c r="C40" s="311"/>
      <c r="D40" s="311"/>
      <c r="E40" s="283" t="str">
        <f t="shared" si="2"/>
        <v/>
      </c>
      <c r="F40" s="283" t="str">
        <f t="shared" si="3"/>
        <v/>
      </c>
      <c r="G40" s="423"/>
      <c r="H40" s="423"/>
      <c r="I40" s="423"/>
      <c r="J40" s="423"/>
      <c r="K40" s="423"/>
    </row>
    <row r="41" spans="1:11" x14ac:dyDescent="0.3">
      <c r="A41" s="281" t="s">
        <v>504</v>
      </c>
      <c r="B41" s="311"/>
      <c r="C41" s="311"/>
      <c r="D41" s="311"/>
      <c r="E41" s="283" t="str">
        <f t="shared" si="2"/>
        <v/>
      </c>
      <c r="F41" s="283" t="str">
        <f t="shared" si="3"/>
        <v/>
      </c>
      <c r="G41" s="423"/>
      <c r="H41" s="423"/>
      <c r="I41" s="423"/>
      <c r="J41" s="423"/>
      <c r="K41" s="423"/>
    </row>
    <row r="42" spans="1:11" x14ac:dyDescent="0.3">
      <c r="A42" s="285" t="s">
        <v>505</v>
      </c>
      <c r="B42" s="286">
        <f>B40+B41</f>
        <v>0</v>
      </c>
      <c r="C42" s="286">
        <f>C40+C41</f>
        <v>0</v>
      </c>
      <c r="D42" s="286">
        <f>D40+D41</f>
        <v>0</v>
      </c>
      <c r="E42" s="283" t="str">
        <f t="shared" si="2"/>
        <v/>
      </c>
      <c r="F42" s="283" t="str">
        <f t="shared" si="3"/>
        <v/>
      </c>
      <c r="G42" s="423"/>
      <c r="H42" s="423"/>
      <c r="I42" s="423"/>
      <c r="J42" s="423"/>
      <c r="K42" s="423"/>
    </row>
    <row r="43" spans="1:11" x14ac:dyDescent="0.3">
      <c r="A43" s="281" t="s">
        <v>506</v>
      </c>
      <c r="B43" s="311"/>
      <c r="C43" s="311"/>
      <c r="D43" s="311"/>
      <c r="E43" s="283" t="str">
        <f t="shared" si="2"/>
        <v/>
      </c>
      <c r="F43" s="283" t="str">
        <f t="shared" si="3"/>
        <v/>
      </c>
      <c r="G43" s="423"/>
      <c r="H43" s="423"/>
      <c r="I43" s="423"/>
      <c r="J43" s="423"/>
      <c r="K43" s="423"/>
    </row>
    <row r="44" spans="1:11" x14ac:dyDescent="0.3">
      <c r="A44" s="281" t="s">
        <v>507</v>
      </c>
      <c r="B44" s="311"/>
      <c r="C44" s="311"/>
      <c r="D44" s="311"/>
      <c r="E44" s="283" t="str">
        <f t="shared" si="2"/>
        <v/>
      </c>
      <c r="F44" s="283" t="str">
        <f t="shared" si="3"/>
        <v/>
      </c>
      <c r="G44" s="423"/>
      <c r="H44" s="423"/>
      <c r="I44" s="423"/>
      <c r="J44" s="423"/>
      <c r="K44" s="423"/>
    </row>
    <row r="45" spans="1:11" x14ac:dyDescent="0.3">
      <c r="A45" s="285" t="s">
        <v>508</v>
      </c>
      <c r="B45" s="286">
        <f>SUM(B42:B44)</f>
        <v>0</v>
      </c>
      <c r="C45" s="286">
        <f>SUM(C42:C44)</f>
        <v>0</v>
      </c>
      <c r="D45" s="286">
        <f>SUM(D42:D44)</f>
        <v>0</v>
      </c>
      <c r="E45" s="283" t="str">
        <f t="shared" si="2"/>
        <v/>
      </c>
      <c r="F45" s="283" t="str">
        <f t="shared" si="3"/>
        <v/>
      </c>
      <c r="G45" s="423"/>
      <c r="H45" s="423"/>
      <c r="I45" s="423"/>
      <c r="J45" s="423"/>
      <c r="K45" s="423"/>
    </row>
    <row r="46" spans="1:11" x14ac:dyDescent="0.3">
      <c r="A46" s="281" t="s">
        <v>509</v>
      </c>
      <c r="B46" s="311"/>
      <c r="C46" s="311"/>
      <c r="D46" s="311"/>
      <c r="E46" s="283" t="str">
        <f t="shared" si="2"/>
        <v/>
      </c>
      <c r="F46" s="283" t="str">
        <f t="shared" si="3"/>
        <v/>
      </c>
      <c r="G46" s="423"/>
      <c r="H46" s="423"/>
      <c r="I46" s="423"/>
      <c r="J46" s="423"/>
      <c r="K46" s="423"/>
    </row>
    <row r="47" spans="1:11" x14ac:dyDescent="0.3">
      <c r="A47" s="281" t="s">
        <v>510</v>
      </c>
      <c r="B47" s="311"/>
      <c r="C47" s="311"/>
      <c r="D47" s="311"/>
      <c r="E47" s="283" t="str">
        <f t="shared" si="2"/>
        <v/>
      </c>
      <c r="F47" s="283" t="str">
        <f t="shared" si="3"/>
        <v/>
      </c>
      <c r="G47" s="423"/>
      <c r="H47" s="423"/>
      <c r="I47" s="423"/>
      <c r="J47" s="423"/>
      <c r="K47" s="423"/>
    </row>
    <row r="48" spans="1:11" x14ac:dyDescent="0.3">
      <c r="A48" s="285" t="s">
        <v>511</v>
      </c>
      <c r="B48" s="286">
        <f>B46+B47</f>
        <v>0</v>
      </c>
      <c r="C48" s="286">
        <f>C46+C47</f>
        <v>0</v>
      </c>
      <c r="D48" s="286">
        <f>D46+D47</f>
        <v>0</v>
      </c>
      <c r="E48" s="283" t="str">
        <f t="shared" si="2"/>
        <v/>
      </c>
      <c r="F48" s="283" t="str">
        <f t="shared" si="3"/>
        <v/>
      </c>
      <c r="G48" s="415"/>
      <c r="H48" s="415"/>
      <c r="I48" s="415"/>
      <c r="J48" s="415"/>
      <c r="K48" s="415"/>
    </row>
    <row r="49" spans="1:11" x14ac:dyDescent="0.3">
      <c r="A49" s="281" t="s">
        <v>512</v>
      </c>
      <c r="B49" s="311"/>
      <c r="C49" s="311"/>
      <c r="D49" s="311"/>
      <c r="E49" s="283" t="str">
        <f t="shared" si="2"/>
        <v/>
      </c>
      <c r="F49" s="283" t="str">
        <f t="shared" si="3"/>
        <v/>
      </c>
      <c r="G49" s="423" t="s">
        <v>565</v>
      </c>
      <c r="H49" s="423"/>
      <c r="I49" s="423"/>
      <c r="J49" s="423"/>
      <c r="K49" s="423"/>
    </row>
    <row r="50" spans="1:11" x14ac:dyDescent="0.3">
      <c r="A50" s="281" t="s">
        <v>513</v>
      </c>
      <c r="B50" s="311"/>
      <c r="C50" s="311"/>
      <c r="D50" s="311"/>
      <c r="E50" s="283" t="str">
        <f t="shared" si="2"/>
        <v/>
      </c>
      <c r="F50" s="283" t="str">
        <f t="shared" si="3"/>
        <v/>
      </c>
      <c r="G50" s="423"/>
      <c r="H50" s="423"/>
      <c r="I50" s="423"/>
      <c r="J50" s="423"/>
      <c r="K50" s="423"/>
    </row>
    <row r="51" spans="1:11" x14ac:dyDescent="0.3">
      <c r="A51" s="281" t="s">
        <v>514</v>
      </c>
      <c r="B51" s="311"/>
      <c r="C51" s="311"/>
      <c r="D51" s="311"/>
      <c r="E51" s="283" t="str">
        <f t="shared" si="2"/>
        <v/>
      </c>
      <c r="F51" s="283" t="str">
        <f t="shared" si="3"/>
        <v/>
      </c>
      <c r="G51" s="423"/>
      <c r="H51" s="423"/>
      <c r="I51" s="423"/>
      <c r="J51" s="423"/>
      <c r="K51" s="423"/>
    </row>
    <row r="52" spans="1:11" x14ac:dyDescent="0.3">
      <c r="A52" s="281" t="s">
        <v>515</v>
      </c>
      <c r="B52" s="311"/>
      <c r="C52" s="311"/>
      <c r="D52" s="311"/>
      <c r="E52" s="283" t="str">
        <f t="shared" si="2"/>
        <v/>
      </c>
      <c r="F52" s="283" t="str">
        <f t="shared" si="3"/>
        <v/>
      </c>
      <c r="G52" s="423"/>
      <c r="H52" s="423"/>
      <c r="I52" s="423"/>
      <c r="J52" s="423"/>
      <c r="K52" s="423"/>
    </row>
    <row r="53" spans="1:11" x14ac:dyDescent="0.3">
      <c r="A53" s="281" t="s">
        <v>516</v>
      </c>
      <c r="B53" s="311"/>
      <c r="C53" s="311"/>
      <c r="D53" s="311"/>
      <c r="E53" s="283" t="str">
        <f t="shared" si="2"/>
        <v/>
      </c>
      <c r="F53" s="283" t="str">
        <f t="shared" si="3"/>
        <v/>
      </c>
      <c r="G53" s="423"/>
      <c r="H53" s="423"/>
      <c r="I53" s="423"/>
      <c r="J53" s="423"/>
      <c r="K53" s="423"/>
    </row>
    <row r="54" spans="1:11" x14ac:dyDescent="0.3">
      <c r="A54" s="297" t="s">
        <v>517</v>
      </c>
      <c r="B54" s="298">
        <f>SUM(B49:B53)</f>
        <v>0</v>
      </c>
      <c r="C54" s="298">
        <f>SUM(C49:C53)</f>
        <v>0</v>
      </c>
      <c r="D54" s="298">
        <f>SUM(D49:D53)</f>
        <v>0</v>
      </c>
      <c r="E54" s="283" t="str">
        <f t="shared" si="2"/>
        <v/>
      </c>
      <c r="F54" s="283" t="str">
        <f t="shared" si="3"/>
        <v/>
      </c>
      <c r="G54" s="419"/>
      <c r="H54" s="419"/>
      <c r="I54" s="419"/>
      <c r="J54" s="419"/>
      <c r="K54" s="419"/>
    </row>
    <row r="55" spans="1:11" x14ac:dyDescent="0.3">
      <c r="A55" s="297" t="s">
        <v>518</v>
      </c>
      <c r="B55" s="298">
        <f>B45+B48</f>
        <v>0</v>
      </c>
      <c r="C55" s="298">
        <f>C45+C48</f>
        <v>0</v>
      </c>
      <c r="D55" s="298">
        <f>D45+D48</f>
        <v>0</v>
      </c>
      <c r="E55" s="283" t="str">
        <f t="shared" si="2"/>
        <v/>
      </c>
      <c r="F55" s="283" t="str">
        <f t="shared" si="3"/>
        <v/>
      </c>
      <c r="G55" s="419"/>
      <c r="H55" s="419"/>
      <c r="I55" s="419"/>
      <c r="J55" s="419"/>
      <c r="K55" s="419"/>
    </row>
    <row r="56" spans="1:11" x14ac:dyDescent="0.3">
      <c r="A56" s="297" t="s">
        <v>519</v>
      </c>
      <c r="B56" s="298">
        <f>+B54+B45+B48</f>
        <v>0</v>
      </c>
      <c r="C56" s="298">
        <f>+C54+C45+C48</f>
        <v>0</v>
      </c>
      <c r="D56" s="298">
        <f>+D54+D45+D48</f>
        <v>0</v>
      </c>
      <c r="E56" s="283" t="str">
        <f t="shared" si="2"/>
        <v/>
      </c>
      <c r="F56" s="283" t="str">
        <f t="shared" si="3"/>
        <v/>
      </c>
      <c r="G56" s="419"/>
      <c r="H56" s="419"/>
      <c r="I56" s="419"/>
      <c r="J56" s="419"/>
      <c r="K56" s="419"/>
    </row>
    <row r="57" spans="1:11" x14ac:dyDescent="0.3">
      <c r="A57" s="297" t="s">
        <v>520</v>
      </c>
      <c r="B57" s="298">
        <f>+B34+B56+B35</f>
        <v>0</v>
      </c>
      <c r="C57" s="298">
        <f>+C34+C56+C35</f>
        <v>0</v>
      </c>
      <c r="D57" s="298">
        <f>+D34+D56+D35</f>
        <v>0</v>
      </c>
      <c r="E57" s="283" t="str">
        <f t="shared" si="2"/>
        <v/>
      </c>
      <c r="F57" s="283" t="str">
        <f t="shared" si="3"/>
        <v/>
      </c>
      <c r="G57" s="419"/>
      <c r="H57" s="419"/>
      <c r="I57" s="419"/>
      <c r="J57" s="419"/>
      <c r="K57" s="419"/>
    </row>
    <row r="58" spans="1:11" s="274" customFormat="1" x14ac:dyDescent="0.3">
      <c r="A58" s="278" t="s">
        <v>521</v>
      </c>
      <c r="B58" s="318"/>
      <c r="C58" s="318"/>
      <c r="D58" s="318"/>
      <c r="E58" s="283" t="str">
        <f t="shared" si="2"/>
        <v/>
      </c>
      <c r="F58" s="283" t="str">
        <f t="shared" si="3"/>
        <v/>
      </c>
      <c r="G58" s="419"/>
      <c r="H58" s="419"/>
      <c r="I58" s="419"/>
      <c r="J58" s="419"/>
      <c r="K58" s="419"/>
    </row>
    <row r="59" spans="1:11" ht="15.75" customHeight="1" x14ac:dyDescent="0.3">
      <c r="A59" s="281" t="s">
        <v>522</v>
      </c>
      <c r="B59" s="311"/>
      <c r="C59" s="311"/>
      <c r="D59" s="311"/>
      <c r="E59" s="283" t="str">
        <f t="shared" si="2"/>
        <v/>
      </c>
      <c r="F59" s="283" t="str">
        <f t="shared" si="3"/>
        <v/>
      </c>
      <c r="G59" s="426" t="s">
        <v>566</v>
      </c>
      <c r="H59" s="426"/>
      <c r="I59" s="426"/>
      <c r="J59" s="426"/>
      <c r="K59" s="426"/>
    </row>
    <row r="60" spans="1:11" x14ac:dyDescent="0.3">
      <c r="A60" s="281" t="s">
        <v>523</v>
      </c>
      <c r="B60" s="311"/>
      <c r="C60" s="311"/>
      <c r="D60" s="311"/>
      <c r="E60" s="283" t="str">
        <f t="shared" si="2"/>
        <v/>
      </c>
      <c r="F60" s="283" t="str">
        <f t="shared" si="3"/>
        <v/>
      </c>
      <c r="G60" s="426"/>
      <c r="H60" s="426"/>
      <c r="I60" s="426"/>
      <c r="J60" s="426"/>
      <c r="K60" s="426"/>
    </row>
    <row r="61" spans="1:11" x14ac:dyDescent="0.3">
      <c r="A61" s="285" t="s">
        <v>524</v>
      </c>
      <c r="B61" s="286">
        <f>B59-B60</f>
        <v>0</v>
      </c>
      <c r="C61" s="286">
        <f>C59-C60</f>
        <v>0</v>
      </c>
      <c r="D61" s="286">
        <f>D59-D60</f>
        <v>0</v>
      </c>
      <c r="E61" s="283" t="str">
        <f t="shared" si="2"/>
        <v/>
      </c>
      <c r="F61" s="283" t="str">
        <f t="shared" si="3"/>
        <v/>
      </c>
      <c r="G61" s="426"/>
      <c r="H61" s="426"/>
      <c r="I61" s="426"/>
      <c r="J61" s="426"/>
      <c r="K61" s="426"/>
    </row>
    <row r="62" spans="1:11" x14ac:dyDescent="0.3">
      <c r="A62" s="281" t="s">
        <v>525</v>
      </c>
      <c r="B62" s="311"/>
      <c r="C62" s="311"/>
      <c r="D62" s="311"/>
      <c r="E62" s="283" t="str">
        <f t="shared" si="2"/>
        <v/>
      </c>
      <c r="F62" s="283" t="str">
        <f t="shared" si="3"/>
        <v/>
      </c>
      <c r="G62" s="426"/>
      <c r="H62" s="426"/>
      <c r="I62" s="426"/>
      <c r="J62" s="426"/>
      <c r="K62" s="426"/>
    </row>
    <row r="63" spans="1:11" x14ac:dyDescent="0.3">
      <c r="A63" s="285" t="s">
        <v>526</v>
      </c>
      <c r="B63" s="286">
        <f>+B61+B62</f>
        <v>0</v>
      </c>
      <c r="C63" s="286">
        <f>+C61+C62</f>
        <v>0</v>
      </c>
      <c r="D63" s="286">
        <f>+D61+D62</f>
        <v>0</v>
      </c>
      <c r="E63" s="283" t="str">
        <f t="shared" si="2"/>
        <v/>
      </c>
      <c r="F63" s="283" t="str">
        <f t="shared" si="3"/>
        <v/>
      </c>
      <c r="G63" s="426"/>
      <c r="H63" s="426"/>
      <c r="I63" s="426"/>
      <c r="J63" s="426"/>
      <c r="K63" s="426"/>
    </row>
    <row r="64" spans="1:11" x14ac:dyDescent="0.3">
      <c r="A64" s="285" t="s">
        <v>527</v>
      </c>
      <c r="B64" s="286">
        <f>SUM(B65:B71)</f>
        <v>0</v>
      </c>
      <c r="C64" s="286">
        <f>SUM(C65:C71)</f>
        <v>0</v>
      </c>
      <c r="D64" s="286">
        <f>SUM(D65:D71)</f>
        <v>0</v>
      </c>
      <c r="E64" s="283" t="str">
        <f t="shared" si="2"/>
        <v/>
      </c>
      <c r="F64" s="283" t="str">
        <f t="shared" si="3"/>
        <v/>
      </c>
      <c r="G64" s="415"/>
      <c r="H64" s="415"/>
      <c r="I64" s="415"/>
      <c r="J64" s="415"/>
      <c r="K64" s="415"/>
    </row>
    <row r="65" spans="1:11" x14ac:dyDescent="0.3">
      <c r="A65" s="281" t="s">
        <v>528</v>
      </c>
      <c r="B65" s="311"/>
      <c r="C65" s="311"/>
      <c r="D65" s="311"/>
      <c r="E65" s="283" t="str">
        <f t="shared" si="2"/>
        <v/>
      </c>
      <c r="F65" s="283" t="str">
        <f t="shared" si="3"/>
        <v/>
      </c>
      <c r="G65" s="423" t="s">
        <v>571</v>
      </c>
      <c r="H65" s="423"/>
      <c r="I65" s="423"/>
      <c r="J65" s="423"/>
      <c r="K65" s="423"/>
    </row>
    <row r="66" spans="1:11" x14ac:dyDescent="0.3">
      <c r="A66" s="281" t="s">
        <v>529</v>
      </c>
      <c r="B66" s="311"/>
      <c r="C66" s="311"/>
      <c r="D66" s="311"/>
      <c r="E66" s="283" t="str">
        <f t="shared" si="2"/>
        <v/>
      </c>
      <c r="F66" s="283" t="str">
        <f t="shared" si="3"/>
        <v/>
      </c>
      <c r="G66" s="423"/>
      <c r="H66" s="423"/>
      <c r="I66" s="423"/>
      <c r="J66" s="423"/>
      <c r="K66" s="423"/>
    </row>
    <row r="67" spans="1:11" x14ac:dyDescent="0.3">
      <c r="A67" s="281" t="s">
        <v>530</v>
      </c>
      <c r="B67" s="311"/>
      <c r="C67" s="311"/>
      <c r="D67" s="311"/>
      <c r="E67" s="283" t="str">
        <f t="shared" si="2"/>
        <v/>
      </c>
      <c r="F67" s="283" t="str">
        <f t="shared" si="3"/>
        <v/>
      </c>
      <c r="G67" s="423"/>
      <c r="H67" s="423"/>
      <c r="I67" s="423"/>
      <c r="J67" s="423"/>
      <c r="K67" s="423"/>
    </row>
    <row r="68" spans="1:11" x14ac:dyDescent="0.3">
      <c r="A68" s="281" t="s">
        <v>531</v>
      </c>
      <c r="B68" s="311"/>
      <c r="C68" s="311"/>
      <c r="D68" s="311"/>
      <c r="E68" s="283" t="str">
        <f t="shared" si="2"/>
        <v/>
      </c>
      <c r="F68" s="283" t="str">
        <f t="shared" si="3"/>
        <v/>
      </c>
      <c r="G68" s="423"/>
      <c r="H68" s="423"/>
      <c r="I68" s="423"/>
      <c r="J68" s="423"/>
      <c r="K68" s="423"/>
    </row>
    <row r="69" spans="1:11" x14ac:dyDescent="0.3">
      <c r="A69" s="281" t="s">
        <v>532</v>
      </c>
      <c r="B69" s="311"/>
      <c r="C69" s="311"/>
      <c r="D69" s="311"/>
      <c r="E69" s="283" t="str">
        <f t="shared" si="2"/>
        <v/>
      </c>
      <c r="F69" s="283" t="str">
        <f t="shared" si="3"/>
        <v/>
      </c>
      <c r="G69" s="423"/>
      <c r="H69" s="423"/>
      <c r="I69" s="423"/>
      <c r="J69" s="423"/>
      <c r="K69" s="423"/>
    </row>
    <row r="70" spans="1:11" x14ac:dyDescent="0.3">
      <c r="A70" s="281" t="s">
        <v>533</v>
      </c>
      <c r="B70" s="311"/>
      <c r="C70" s="311"/>
      <c r="D70" s="311"/>
      <c r="E70" s="283" t="str">
        <f t="shared" si="2"/>
        <v/>
      </c>
      <c r="F70" s="283" t="str">
        <f t="shared" si="3"/>
        <v/>
      </c>
      <c r="G70" s="423"/>
      <c r="H70" s="423"/>
      <c r="I70" s="423"/>
      <c r="J70" s="423"/>
      <c r="K70" s="423"/>
    </row>
    <row r="71" spans="1:11" x14ac:dyDescent="0.3">
      <c r="A71" s="281" t="s">
        <v>534</v>
      </c>
      <c r="B71" s="311"/>
      <c r="C71" s="311"/>
      <c r="D71" s="311"/>
      <c r="E71" s="283" t="str">
        <f t="shared" si="2"/>
        <v/>
      </c>
      <c r="F71" s="283" t="str">
        <f t="shared" si="3"/>
        <v/>
      </c>
      <c r="G71" s="423"/>
      <c r="H71" s="423"/>
      <c r="I71" s="423"/>
      <c r="J71" s="423"/>
      <c r="K71" s="423"/>
    </row>
    <row r="72" spans="1:11" x14ac:dyDescent="0.3">
      <c r="A72" s="285" t="s">
        <v>535</v>
      </c>
      <c r="B72" s="286">
        <f>SUM(B73:B75)</f>
        <v>0</v>
      </c>
      <c r="C72" s="286">
        <f>SUM(C73:C75)</f>
        <v>0</v>
      </c>
      <c r="D72" s="286">
        <f>SUM(D73:D75)</f>
        <v>0</v>
      </c>
      <c r="E72" s="283" t="str">
        <f t="shared" si="2"/>
        <v/>
      </c>
      <c r="F72" s="283" t="str">
        <f t="shared" si="3"/>
        <v/>
      </c>
      <c r="G72" s="415"/>
      <c r="H72" s="415"/>
      <c r="I72" s="415"/>
      <c r="J72" s="415"/>
      <c r="K72" s="415"/>
    </row>
    <row r="73" spans="1:11" x14ac:dyDescent="0.3">
      <c r="A73" s="281" t="s">
        <v>536</v>
      </c>
      <c r="B73" s="311"/>
      <c r="C73" s="311"/>
      <c r="D73" s="311"/>
      <c r="E73" s="283" t="str">
        <f t="shared" si="2"/>
        <v/>
      </c>
      <c r="F73" s="283" t="str">
        <f t="shared" si="3"/>
        <v/>
      </c>
      <c r="G73" s="416" t="s">
        <v>568</v>
      </c>
      <c r="H73" s="416"/>
      <c r="I73" s="416"/>
      <c r="J73" s="416"/>
      <c r="K73" s="416"/>
    </row>
    <row r="74" spans="1:11" x14ac:dyDescent="0.3">
      <c r="A74" s="281" t="s">
        <v>537</v>
      </c>
      <c r="B74" s="311"/>
      <c r="C74" s="311"/>
      <c r="D74" s="311"/>
      <c r="E74" s="283" t="str">
        <f t="shared" si="2"/>
        <v/>
      </c>
      <c r="F74" s="283" t="str">
        <f t="shared" si="3"/>
        <v/>
      </c>
      <c r="G74" s="416"/>
      <c r="H74" s="416"/>
      <c r="I74" s="416"/>
      <c r="J74" s="416"/>
      <c r="K74" s="416"/>
    </row>
    <row r="75" spans="1:11" x14ac:dyDescent="0.3">
      <c r="A75" s="281" t="s">
        <v>538</v>
      </c>
      <c r="B75" s="311"/>
      <c r="C75" s="311"/>
      <c r="D75" s="311"/>
      <c r="E75" s="283" t="str">
        <f t="shared" si="2"/>
        <v/>
      </c>
      <c r="F75" s="283" t="str">
        <f t="shared" si="3"/>
        <v/>
      </c>
      <c r="G75" s="416"/>
      <c r="H75" s="416"/>
      <c r="I75" s="416"/>
      <c r="J75" s="416"/>
      <c r="K75" s="416"/>
    </row>
    <row r="76" spans="1:11" x14ac:dyDescent="0.3">
      <c r="A76" s="285" t="s">
        <v>539</v>
      </c>
      <c r="B76" s="286">
        <f>B63+B64+B72</f>
        <v>0</v>
      </c>
      <c r="C76" s="286">
        <f>C63+C64+C72</f>
        <v>0</v>
      </c>
      <c r="D76" s="286">
        <f>D63+D64+D72</f>
        <v>0</v>
      </c>
      <c r="E76" s="283" t="str">
        <f t="shared" si="2"/>
        <v/>
      </c>
      <c r="F76" s="283" t="str">
        <f t="shared" si="3"/>
        <v/>
      </c>
      <c r="G76" s="415"/>
      <c r="H76" s="415"/>
      <c r="I76" s="415"/>
      <c r="J76" s="415"/>
      <c r="K76" s="415"/>
    </row>
    <row r="77" spans="1:11" x14ac:dyDescent="0.3">
      <c r="A77" s="300" t="s">
        <v>540</v>
      </c>
      <c r="B77" s="301">
        <f>B57-B76</f>
        <v>0</v>
      </c>
      <c r="C77" s="301">
        <f>C57-C76</f>
        <v>0</v>
      </c>
      <c r="D77" s="301">
        <f>D57-D76</f>
        <v>0</v>
      </c>
    </row>
    <row r="79" spans="1:11" x14ac:dyDescent="0.3">
      <c r="A79" s="302" t="s">
        <v>541</v>
      </c>
      <c r="B79" s="303">
        <f>B30</f>
        <v>45382</v>
      </c>
      <c r="C79" s="303">
        <f>C30</f>
        <v>45747</v>
      </c>
      <c r="D79" s="303">
        <f>D30</f>
        <v>46112</v>
      </c>
    </row>
    <row r="80" spans="1:11" x14ac:dyDescent="0.3">
      <c r="A80" s="304" t="s">
        <v>542</v>
      </c>
      <c r="B80" s="305">
        <f>B7</f>
        <v>0</v>
      </c>
      <c r="C80" s="305">
        <f>C7</f>
        <v>0</v>
      </c>
      <c r="D80" s="305">
        <f>D7</f>
        <v>0</v>
      </c>
    </row>
    <row r="81" spans="1:4" x14ac:dyDescent="0.3">
      <c r="A81" s="304" t="s">
        <v>482</v>
      </c>
      <c r="B81" s="305">
        <f>B17</f>
        <v>0</v>
      </c>
      <c r="C81" s="305">
        <f>C17</f>
        <v>0</v>
      </c>
      <c r="D81" s="305">
        <f>D17</f>
        <v>0</v>
      </c>
    </row>
    <row r="82" spans="1:4" x14ac:dyDescent="0.3">
      <c r="A82" s="304" t="s">
        <v>543</v>
      </c>
      <c r="B82" s="306">
        <f>IFERROR(B81/B80,0)</f>
        <v>0</v>
      </c>
      <c r="C82" s="306">
        <f>IFERROR(C81/C80,0)</f>
        <v>0</v>
      </c>
      <c r="D82" s="306">
        <f>IFERROR(D81/D80,0)</f>
        <v>0</v>
      </c>
    </row>
    <row r="83" spans="1:4" x14ac:dyDescent="0.3">
      <c r="A83" s="304" t="s">
        <v>544</v>
      </c>
      <c r="B83" s="305">
        <f>SUM(B18:B20)</f>
        <v>0</v>
      </c>
      <c r="C83" s="305">
        <f>SUM(C18:C20)</f>
        <v>0</v>
      </c>
      <c r="D83" s="305">
        <f>SUM(D18:D20)</f>
        <v>0</v>
      </c>
    </row>
    <row r="84" spans="1:4" x14ac:dyDescent="0.3">
      <c r="A84" s="304" t="s">
        <v>299</v>
      </c>
      <c r="B84" s="305">
        <f>B21</f>
        <v>0</v>
      </c>
      <c r="C84" s="305">
        <f>C21</f>
        <v>0</v>
      </c>
      <c r="D84" s="305">
        <f>D21</f>
        <v>0</v>
      </c>
    </row>
    <row r="85" spans="1:4" x14ac:dyDescent="0.3">
      <c r="A85" s="304" t="s">
        <v>545</v>
      </c>
      <c r="B85" s="305">
        <f>B23</f>
        <v>0</v>
      </c>
      <c r="C85" s="305">
        <f>C23</f>
        <v>0</v>
      </c>
      <c r="D85" s="305">
        <f>D23</f>
        <v>0</v>
      </c>
    </row>
    <row r="86" spans="1:4" x14ac:dyDescent="0.3">
      <c r="A86" s="304" t="s">
        <v>546</v>
      </c>
      <c r="B86" s="305">
        <f>B9</f>
        <v>0</v>
      </c>
      <c r="C86" s="305">
        <f>C9</f>
        <v>0</v>
      </c>
      <c r="D86" s="305">
        <f>D9</f>
        <v>0</v>
      </c>
    </row>
    <row r="87" spans="1:4" x14ac:dyDescent="0.3">
      <c r="A87" s="304" t="s">
        <v>547</v>
      </c>
      <c r="B87" s="305">
        <f>B24</f>
        <v>0</v>
      </c>
      <c r="C87" s="305">
        <f>C24</f>
        <v>0</v>
      </c>
      <c r="D87" s="305">
        <f>D24</f>
        <v>0</v>
      </c>
    </row>
    <row r="88" spans="1:4" x14ac:dyDescent="0.3">
      <c r="A88" s="304" t="s">
        <v>491</v>
      </c>
      <c r="B88" s="305">
        <f>B27</f>
        <v>0</v>
      </c>
      <c r="C88" s="305">
        <f>C27</f>
        <v>0</v>
      </c>
      <c r="D88" s="305">
        <f>D27</f>
        <v>0</v>
      </c>
    </row>
    <row r="89" spans="1:4" x14ac:dyDescent="0.3">
      <c r="A89" s="304" t="s">
        <v>524</v>
      </c>
      <c r="B89" s="305">
        <f>B61</f>
        <v>0</v>
      </c>
      <c r="C89" s="305">
        <f>C61</f>
        <v>0</v>
      </c>
      <c r="D89" s="305">
        <f>D61</f>
        <v>0</v>
      </c>
    </row>
    <row r="90" spans="1:4" x14ac:dyDescent="0.3">
      <c r="A90" s="304" t="s">
        <v>548</v>
      </c>
      <c r="B90" s="305">
        <f>B34</f>
        <v>0</v>
      </c>
      <c r="C90" s="305">
        <f>C34</f>
        <v>0</v>
      </c>
      <c r="D90" s="305">
        <f>D34</f>
        <v>0</v>
      </c>
    </row>
    <row r="91" spans="1:4" x14ac:dyDescent="0.3">
      <c r="A91" s="304" t="s">
        <v>549</v>
      </c>
      <c r="B91" s="305">
        <f>B38</f>
        <v>0</v>
      </c>
      <c r="C91" s="305">
        <f>C38</f>
        <v>0</v>
      </c>
      <c r="D91" s="305">
        <f>D38</f>
        <v>0</v>
      </c>
    </row>
    <row r="92" spans="1:4" x14ac:dyDescent="0.3">
      <c r="A92" s="304" t="s">
        <v>550</v>
      </c>
      <c r="B92" s="305">
        <f>B74</f>
        <v>0</v>
      </c>
      <c r="C92" s="305">
        <f>C74</f>
        <v>0</v>
      </c>
      <c r="D92" s="305">
        <f>D74</f>
        <v>0</v>
      </c>
    </row>
    <row r="93" spans="1:4" x14ac:dyDescent="0.3">
      <c r="A93" s="304" t="s">
        <v>551</v>
      </c>
      <c r="B93" s="305">
        <f>B52</f>
        <v>0</v>
      </c>
      <c r="C93" s="305">
        <f>C52</f>
        <v>0</v>
      </c>
      <c r="D93" s="305">
        <f>D52</f>
        <v>0</v>
      </c>
    </row>
    <row r="94" spans="1:4" x14ac:dyDescent="0.3">
      <c r="A94" s="307" t="s">
        <v>552</v>
      </c>
      <c r="B94" s="305">
        <f>B65</f>
        <v>0</v>
      </c>
      <c r="C94" s="305">
        <f>C65</f>
        <v>0</v>
      </c>
      <c r="D94" s="305">
        <f>D65</f>
        <v>0</v>
      </c>
    </row>
    <row r="95" spans="1:4" x14ac:dyDescent="0.3">
      <c r="A95" s="304" t="s">
        <v>553</v>
      </c>
      <c r="B95" s="305">
        <f>B45+B48</f>
        <v>0</v>
      </c>
      <c r="C95" s="305">
        <f>C45+C48</f>
        <v>0</v>
      </c>
      <c r="D95" s="305">
        <f>D45+D48</f>
        <v>0</v>
      </c>
    </row>
    <row r="96" spans="1:4" x14ac:dyDescent="0.3">
      <c r="A96" s="304" t="s">
        <v>554</v>
      </c>
      <c r="B96" s="308" t="str">
        <f>ROUND(IFERROR(B95/B91,0),2)&amp;" times"</f>
        <v>0 times</v>
      </c>
      <c r="C96" s="308" t="str">
        <f>ROUND(IFERROR(C95/C91,0),2)&amp;" times"</f>
        <v>0 times</v>
      </c>
      <c r="D96" s="308" t="str">
        <f>ROUND(IFERROR(D95/D91,0),2)&amp;" times"</f>
        <v>0 times</v>
      </c>
    </row>
    <row r="97" spans="1:4" x14ac:dyDescent="0.3">
      <c r="A97" s="304" t="s">
        <v>555</v>
      </c>
      <c r="B97" s="308">
        <f>IFERROR(ROUNDUP(B81/B83,2)&amp;" Times",0)</f>
        <v>0</v>
      </c>
      <c r="C97" s="308">
        <f>IFERROR(ROUNDUP(C81/C83,2)&amp;" Times",0)</f>
        <v>0</v>
      </c>
      <c r="D97" s="308">
        <f>IFERROR(ROUNDUP(D81/D83,2)&amp;" Times",0)</f>
        <v>0</v>
      </c>
    </row>
    <row r="1048560" hidden="1" x14ac:dyDescent="0.3"/>
  </sheetData>
  <mergeCells count="26">
    <mergeCell ref="G76:K76"/>
    <mergeCell ref="G59:K63"/>
    <mergeCell ref="G64:K64"/>
    <mergeCell ref="G65:K71"/>
    <mergeCell ref="G72:K72"/>
    <mergeCell ref="G73:K75"/>
    <mergeCell ref="G38:K38"/>
    <mergeCell ref="G39:K47"/>
    <mergeCell ref="G48:K48"/>
    <mergeCell ref="G49:K53"/>
    <mergeCell ref="G54:K58"/>
    <mergeCell ref="G18:K20"/>
    <mergeCell ref="G23:K28"/>
    <mergeCell ref="G29:K31"/>
    <mergeCell ref="E30:F30"/>
    <mergeCell ref="G32:K37"/>
    <mergeCell ref="G7:K7"/>
    <mergeCell ref="G8:K10"/>
    <mergeCell ref="G11:K11"/>
    <mergeCell ref="G12:K16"/>
    <mergeCell ref="G17:K17"/>
    <mergeCell ref="A1:F1"/>
    <mergeCell ref="B2:F2"/>
    <mergeCell ref="E3:F3"/>
    <mergeCell ref="G3:K3"/>
    <mergeCell ref="G4:K6"/>
  </mergeCells>
  <dataValidations count="1">
    <dataValidation type="list" showInputMessage="1" showErrorMessage="1" sqref="B3:D3" xr:uid="{00000000-0002-0000-1100-000000000000}">
      <formula1>"Audited,Unaudited,Provisional"</formula1>
      <formula2>0</formula2>
    </dataValidation>
  </dataValidations>
  <pageMargins left="0.2" right="0.2" top="0.2" bottom="0.2" header="0.511811023622047" footer="0.1"/>
  <pageSetup scale="49" orientation="portrait" horizontalDpi="300" verticalDpi="300"/>
  <headerFooter>
    <oddFooter>&amp;C&amp;F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2E75B6"/>
  </sheetPr>
  <dimension ref="A3:H52"/>
  <sheetViews>
    <sheetView zoomScaleNormal="100" workbookViewId="0">
      <pane ySplit="10" topLeftCell="A11" activePane="bottomLeft" state="frozen"/>
      <selection pane="bottomLeft" activeCell="H2" sqref="H2"/>
    </sheetView>
  </sheetViews>
  <sheetFormatPr defaultColWidth="8.6640625" defaultRowHeight="14.4" x14ac:dyDescent="0.3"/>
  <cols>
    <col min="1" max="1" width="14.44140625" customWidth="1"/>
    <col min="2" max="2" width="16.33203125" customWidth="1"/>
    <col min="3" max="3" width="13.6640625" customWidth="1"/>
    <col min="4" max="4" width="13" customWidth="1"/>
    <col min="5" max="5" width="16.6640625" customWidth="1"/>
    <col min="6" max="6" width="14.6640625" customWidth="1"/>
    <col min="7" max="7" width="16.44140625" customWidth="1"/>
    <col min="8" max="8" width="16.6640625" customWidth="1"/>
  </cols>
  <sheetData>
    <row r="3" spans="1:8" x14ac:dyDescent="0.3">
      <c r="A3" s="113" t="s">
        <v>572</v>
      </c>
      <c r="B3" s="427"/>
      <c r="C3" s="427"/>
      <c r="D3" s="427"/>
    </row>
    <row r="4" spans="1:8" x14ac:dyDescent="0.3">
      <c r="A4" s="113" t="s">
        <v>573</v>
      </c>
      <c r="B4" s="427"/>
      <c r="C4" s="427"/>
      <c r="D4" s="427"/>
    </row>
    <row r="5" spans="1:8" x14ac:dyDescent="0.3">
      <c r="A5" s="113" t="s">
        <v>574</v>
      </c>
      <c r="B5" s="427"/>
      <c r="C5" s="427"/>
      <c r="D5" s="427"/>
    </row>
    <row r="6" spans="1:8" x14ac:dyDescent="0.3">
      <c r="A6" s="113" t="s">
        <v>575</v>
      </c>
      <c r="B6" s="427"/>
      <c r="C6" s="427"/>
      <c r="D6" s="427"/>
    </row>
    <row r="7" spans="1:8" x14ac:dyDescent="0.3">
      <c r="A7" s="113" t="s">
        <v>576</v>
      </c>
      <c r="B7" s="427"/>
      <c r="C7" s="427"/>
      <c r="D7" s="427"/>
    </row>
    <row r="8" spans="1:8" x14ac:dyDescent="0.3">
      <c r="A8" s="113" t="s">
        <v>577</v>
      </c>
      <c r="B8" s="427"/>
      <c r="C8" s="427"/>
      <c r="D8" s="427"/>
    </row>
    <row r="9" spans="1:8" x14ac:dyDescent="0.3">
      <c r="A9" s="427"/>
      <c r="B9" s="427"/>
      <c r="C9" s="427"/>
      <c r="D9" s="427"/>
    </row>
    <row r="10" spans="1:8" ht="30" customHeight="1" x14ac:dyDescent="0.3">
      <c r="A10" s="319" t="s">
        <v>578</v>
      </c>
      <c r="B10" s="319" t="s">
        <v>579</v>
      </c>
      <c r="C10" s="319" t="s">
        <v>580</v>
      </c>
      <c r="D10" s="319" t="s">
        <v>581</v>
      </c>
      <c r="E10" s="33" t="s">
        <v>582</v>
      </c>
      <c r="F10" s="319" t="s">
        <v>583</v>
      </c>
      <c r="G10" s="319" t="s">
        <v>584</v>
      </c>
      <c r="H10" s="319" t="s">
        <v>585</v>
      </c>
    </row>
    <row r="11" spans="1:8" x14ac:dyDescent="0.3">
      <c r="A11" s="320">
        <v>43466</v>
      </c>
      <c r="B11" s="321"/>
      <c r="C11" s="322"/>
      <c r="D11" s="322"/>
      <c r="E11" s="159">
        <f t="shared" ref="E11:E51" si="0">SUM(C11:D11)</f>
        <v>0</v>
      </c>
      <c r="F11" s="322"/>
      <c r="G11" s="159">
        <f t="shared" ref="G11:G51" si="1">-E11+F11</f>
        <v>0</v>
      </c>
      <c r="H11" s="159">
        <f t="shared" ref="H11:H51" si="2">B11+C11-F11</f>
        <v>0</v>
      </c>
    </row>
    <row r="12" spans="1:8" x14ac:dyDescent="0.3">
      <c r="A12" s="320">
        <v>43497</v>
      </c>
      <c r="B12" s="159">
        <f t="shared" ref="B12:B51" si="3">H11</f>
        <v>0</v>
      </c>
      <c r="C12" s="322"/>
      <c r="D12" s="322"/>
      <c r="E12" s="159">
        <f t="shared" si="0"/>
        <v>0</v>
      </c>
      <c r="F12" s="322"/>
      <c r="G12" s="159">
        <f t="shared" si="1"/>
        <v>0</v>
      </c>
      <c r="H12" s="159">
        <f t="shared" si="2"/>
        <v>0</v>
      </c>
    </row>
    <row r="13" spans="1:8" x14ac:dyDescent="0.3">
      <c r="A13" s="320">
        <v>43525</v>
      </c>
      <c r="B13" s="159">
        <f t="shared" si="3"/>
        <v>0</v>
      </c>
      <c r="C13" s="322"/>
      <c r="D13" s="322"/>
      <c r="E13" s="159">
        <f t="shared" si="0"/>
        <v>0</v>
      </c>
      <c r="F13" s="322"/>
      <c r="G13" s="159">
        <f t="shared" si="1"/>
        <v>0</v>
      </c>
      <c r="H13" s="159">
        <f t="shared" si="2"/>
        <v>0</v>
      </c>
    </row>
    <row r="14" spans="1:8" x14ac:dyDescent="0.3">
      <c r="A14" s="320">
        <v>43556</v>
      </c>
      <c r="B14" s="159">
        <f t="shared" si="3"/>
        <v>0</v>
      </c>
      <c r="C14" s="322"/>
      <c r="D14" s="322"/>
      <c r="E14" s="159">
        <f t="shared" si="0"/>
        <v>0</v>
      </c>
      <c r="F14" s="322"/>
      <c r="G14" s="159">
        <f t="shared" si="1"/>
        <v>0</v>
      </c>
      <c r="H14" s="159">
        <f t="shared" si="2"/>
        <v>0</v>
      </c>
    </row>
    <row r="15" spans="1:8" x14ac:dyDescent="0.3">
      <c r="A15" s="320">
        <v>43586</v>
      </c>
      <c r="B15" s="159">
        <f t="shared" si="3"/>
        <v>0</v>
      </c>
      <c r="C15" s="322"/>
      <c r="D15" s="322"/>
      <c r="E15" s="159">
        <f t="shared" si="0"/>
        <v>0</v>
      </c>
      <c r="F15" s="322"/>
      <c r="G15" s="159">
        <f t="shared" si="1"/>
        <v>0</v>
      </c>
      <c r="H15" s="159">
        <f t="shared" si="2"/>
        <v>0</v>
      </c>
    </row>
    <row r="16" spans="1:8" x14ac:dyDescent="0.3">
      <c r="A16" s="320">
        <v>43617</v>
      </c>
      <c r="B16" s="159">
        <f t="shared" si="3"/>
        <v>0</v>
      </c>
      <c r="C16" s="322"/>
      <c r="D16" s="322"/>
      <c r="E16" s="159">
        <f t="shared" si="0"/>
        <v>0</v>
      </c>
      <c r="F16" s="322"/>
      <c r="G16" s="159">
        <f t="shared" si="1"/>
        <v>0</v>
      </c>
      <c r="H16" s="159">
        <f t="shared" si="2"/>
        <v>0</v>
      </c>
    </row>
    <row r="17" spans="1:8" x14ac:dyDescent="0.3">
      <c r="A17" s="320">
        <v>43647</v>
      </c>
      <c r="B17" s="159">
        <f t="shared" si="3"/>
        <v>0</v>
      </c>
      <c r="C17" s="322"/>
      <c r="D17" s="322"/>
      <c r="E17" s="159">
        <f t="shared" si="0"/>
        <v>0</v>
      </c>
      <c r="F17" s="322"/>
      <c r="G17" s="159">
        <f t="shared" si="1"/>
        <v>0</v>
      </c>
      <c r="H17" s="159">
        <f t="shared" si="2"/>
        <v>0</v>
      </c>
    </row>
    <row r="18" spans="1:8" x14ac:dyDescent="0.3">
      <c r="A18" s="320">
        <v>43678</v>
      </c>
      <c r="B18" s="159">
        <f t="shared" si="3"/>
        <v>0</v>
      </c>
      <c r="C18" s="322"/>
      <c r="D18" s="322"/>
      <c r="E18" s="159">
        <f t="shared" si="0"/>
        <v>0</v>
      </c>
      <c r="F18" s="322"/>
      <c r="G18" s="159">
        <f t="shared" si="1"/>
        <v>0</v>
      </c>
      <c r="H18" s="159">
        <f t="shared" si="2"/>
        <v>0</v>
      </c>
    </row>
    <row r="19" spans="1:8" x14ac:dyDescent="0.3">
      <c r="A19" s="320">
        <v>43709</v>
      </c>
      <c r="B19" s="159">
        <f t="shared" si="3"/>
        <v>0</v>
      </c>
      <c r="C19" s="322"/>
      <c r="D19" s="322"/>
      <c r="E19" s="159">
        <f t="shared" si="0"/>
        <v>0</v>
      </c>
      <c r="F19" s="322"/>
      <c r="G19" s="159">
        <f t="shared" si="1"/>
        <v>0</v>
      </c>
      <c r="H19" s="159">
        <f t="shared" si="2"/>
        <v>0</v>
      </c>
    </row>
    <row r="20" spans="1:8" x14ac:dyDescent="0.3">
      <c r="A20" s="320">
        <v>43739</v>
      </c>
      <c r="B20" s="159">
        <f t="shared" si="3"/>
        <v>0</v>
      </c>
      <c r="C20" s="322"/>
      <c r="D20" s="322"/>
      <c r="E20" s="159">
        <f t="shared" si="0"/>
        <v>0</v>
      </c>
      <c r="F20" s="322"/>
      <c r="G20" s="159">
        <f t="shared" si="1"/>
        <v>0</v>
      </c>
      <c r="H20" s="159">
        <f t="shared" si="2"/>
        <v>0</v>
      </c>
    </row>
    <row r="21" spans="1:8" x14ac:dyDescent="0.3">
      <c r="A21" s="320">
        <v>43770</v>
      </c>
      <c r="B21" s="159">
        <f t="shared" si="3"/>
        <v>0</v>
      </c>
      <c r="C21" s="322"/>
      <c r="D21" s="322"/>
      <c r="E21" s="159">
        <f t="shared" si="0"/>
        <v>0</v>
      </c>
      <c r="F21" s="322"/>
      <c r="G21" s="159">
        <f t="shared" si="1"/>
        <v>0</v>
      </c>
      <c r="H21" s="159">
        <f t="shared" si="2"/>
        <v>0</v>
      </c>
    </row>
    <row r="22" spans="1:8" x14ac:dyDescent="0.3">
      <c r="A22" s="320">
        <v>43800</v>
      </c>
      <c r="B22" s="159">
        <f t="shared" si="3"/>
        <v>0</v>
      </c>
      <c r="C22" s="322"/>
      <c r="D22" s="322"/>
      <c r="E22" s="159">
        <f t="shared" si="0"/>
        <v>0</v>
      </c>
      <c r="F22" s="322"/>
      <c r="G22" s="159">
        <f t="shared" si="1"/>
        <v>0</v>
      </c>
      <c r="H22" s="159">
        <f t="shared" si="2"/>
        <v>0</v>
      </c>
    </row>
    <row r="23" spans="1:8" x14ac:dyDescent="0.3">
      <c r="A23" s="320">
        <v>43831</v>
      </c>
      <c r="B23" s="159">
        <f t="shared" si="3"/>
        <v>0</v>
      </c>
      <c r="C23" s="322"/>
      <c r="D23" s="322"/>
      <c r="E23" s="159">
        <f t="shared" si="0"/>
        <v>0</v>
      </c>
      <c r="F23" s="322"/>
      <c r="G23" s="159">
        <f t="shared" si="1"/>
        <v>0</v>
      </c>
      <c r="H23" s="159">
        <f t="shared" si="2"/>
        <v>0</v>
      </c>
    </row>
    <row r="24" spans="1:8" x14ac:dyDescent="0.3">
      <c r="A24" s="320">
        <v>43862</v>
      </c>
      <c r="B24" s="159">
        <f t="shared" si="3"/>
        <v>0</v>
      </c>
      <c r="C24" s="322"/>
      <c r="D24" s="322"/>
      <c r="E24" s="159">
        <f t="shared" si="0"/>
        <v>0</v>
      </c>
      <c r="F24" s="322"/>
      <c r="G24" s="159">
        <f t="shared" si="1"/>
        <v>0</v>
      </c>
      <c r="H24" s="159">
        <f t="shared" si="2"/>
        <v>0</v>
      </c>
    </row>
    <row r="25" spans="1:8" x14ac:dyDescent="0.3">
      <c r="A25" s="320">
        <v>43891</v>
      </c>
      <c r="B25" s="159">
        <f t="shared" si="3"/>
        <v>0</v>
      </c>
      <c r="C25" s="322"/>
      <c r="D25" s="322"/>
      <c r="E25" s="159">
        <f t="shared" si="0"/>
        <v>0</v>
      </c>
      <c r="F25" s="322"/>
      <c r="G25" s="159">
        <f t="shared" si="1"/>
        <v>0</v>
      </c>
      <c r="H25" s="159">
        <f t="shared" si="2"/>
        <v>0</v>
      </c>
    </row>
    <row r="26" spans="1:8" x14ac:dyDescent="0.3">
      <c r="A26" s="320">
        <v>43922</v>
      </c>
      <c r="B26" s="159">
        <f t="shared" si="3"/>
        <v>0</v>
      </c>
      <c r="C26" s="322"/>
      <c r="D26" s="322"/>
      <c r="E26" s="159">
        <f t="shared" si="0"/>
        <v>0</v>
      </c>
      <c r="F26" s="322"/>
      <c r="G26" s="159">
        <f t="shared" si="1"/>
        <v>0</v>
      </c>
      <c r="H26" s="159">
        <f t="shared" si="2"/>
        <v>0</v>
      </c>
    </row>
    <row r="27" spans="1:8" x14ac:dyDescent="0.3">
      <c r="A27" s="320">
        <v>43952</v>
      </c>
      <c r="B27" s="159">
        <f t="shared" si="3"/>
        <v>0</v>
      </c>
      <c r="C27" s="322"/>
      <c r="D27" s="322"/>
      <c r="E27" s="159">
        <f t="shared" si="0"/>
        <v>0</v>
      </c>
      <c r="F27" s="322"/>
      <c r="G27" s="159">
        <f t="shared" si="1"/>
        <v>0</v>
      </c>
      <c r="H27" s="159">
        <f t="shared" si="2"/>
        <v>0</v>
      </c>
    </row>
    <row r="28" spans="1:8" x14ac:dyDescent="0.3">
      <c r="A28" s="320">
        <v>43983</v>
      </c>
      <c r="B28" s="159">
        <f t="shared" si="3"/>
        <v>0</v>
      </c>
      <c r="C28" s="322"/>
      <c r="D28" s="322"/>
      <c r="E28" s="159">
        <f t="shared" si="0"/>
        <v>0</v>
      </c>
      <c r="F28" s="322"/>
      <c r="G28" s="159">
        <f t="shared" si="1"/>
        <v>0</v>
      </c>
      <c r="H28" s="159">
        <f t="shared" si="2"/>
        <v>0</v>
      </c>
    </row>
    <row r="29" spans="1:8" x14ac:dyDescent="0.3">
      <c r="A29" s="320">
        <v>44013</v>
      </c>
      <c r="B29" s="159">
        <f t="shared" si="3"/>
        <v>0</v>
      </c>
      <c r="C29" s="322"/>
      <c r="D29" s="322"/>
      <c r="E29" s="159">
        <f t="shared" si="0"/>
        <v>0</v>
      </c>
      <c r="F29" s="322"/>
      <c r="G29" s="159">
        <f t="shared" si="1"/>
        <v>0</v>
      </c>
      <c r="H29" s="159">
        <f t="shared" si="2"/>
        <v>0</v>
      </c>
    </row>
    <row r="30" spans="1:8" x14ac:dyDescent="0.3">
      <c r="A30" s="320">
        <v>44044</v>
      </c>
      <c r="B30" s="159">
        <f t="shared" si="3"/>
        <v>0</v>
      </c>
      <c r="C30" s="322"/>
      <c r="D30" s="322"/>
      <c r="E30" s="159">
        <f t="shared" si="0"/>
        <v>0</v>
      </c>
      <c r="F30" s="322"/>
      <c r="G30" s="159">
        <f t="shared" si="1"/>
        <v>0</v>
      </c>
      <c r="H30" s="159">
        <f t="shared" si="2"/>
        <v>0</v>
      </c>
    </row>
    <row r="31" spans="1:8" x14ac:dyDescent="0.3">
      <c r="A31" s="320">
        <v>44075</v>
      </c>
      <c r="B31" s="159">
        <f t="shared" si="3"/>
        <v>0</v>
      </c>
      <c r="C31" s="322"/>
      <c r="D31" s="322"/>
      <c r="E31" s="159">
        <f t="shared" si="0"/>
        <v>0</v>
      </c>
      <c r="F31" s="322"/>
      <c r="G31" s="159">
        <f t="shared" si="1"/>
        <v>0</v>
      </c>
      <c r="H31" s="159">
        <f t="shared" si="2"/>
        <v>0</v>
      </c>
    </row>
    <row r="32" spans="1:8" x14ac:dyDescent="0.3">
      <c r="A32" s="320">
        <v>44105</v>
      </c>
      <c r="B32" s="159">
        <f t="shared" si="3"/>
        <v>0</v>
      </c>
      <c r="C32" s="322"/>
      <c r="D32" s="322"/>
      <c r="E32" s="159">
        <f t="shared" si="0"/>
        <v>0</v>
      </c>
      <c r="F32" s="322"/>
      <c r="G32" s="159">
        <f t="shared" si="1"/>
        <v>0</v>
      </c>
      <c r="H32" s="159">
        <f t="shared" si="2"/>
        <v>0</v>
      </c>
    </row>
    <row r="33" spans="1:8" x14ac:dyDescent="0.3">
      <c r="A33" s="320">
        <v>44136</v>
      </c>
      <c r="B33" s="159">
        <f t="shared" si="3"/>
        <v>0</v>
      </c>
      <c r="C33" s="322"/>
      <c r="D33" s="322"/>
      <c r="E33" s="159">
        <f t="shared" si="0"/>
        <v>0</v>
      </c>
      <c r="F33" s="322"/>
      <c r="G33" s="159">
        <f t="shared" si="1"/>
        <v>0</v>
      </c>
      <c r="H33" s="159">
        <f t="shared" si="2"/>
        <v>0</v>
      </c>
    </row>
    <row r="34" spans="1:8" x14ac:dyDescent="0.3">
      <c r="A34" s="320">
        <v>44166</v>
      </c>
      <c r="B34" s="159">
        <f t="shared" si="3"/>
        <v>0</v>
      </c>
      <c r="C34" s="322"/>
      <c r="D34" s="322"/>
      <c r="E34" s="159">
        <f t="shared" si="0"/>
        <v>0</v>
      </c>
      <c r="F34" s="322"/>
      <c r="G34" s="159">
        <f t="shared" si="1"/>
        <v>0</v>
      </c>
      <c r="H34" s="159">
        <f t="shared" si="2"/>
        <v>0</v>
      </c>
    </row>
    <row r="35" spans="1:8" x14ac:dyDescent="0.3">
      <c r="A35" s="320">
        <v>44197</v>
      </c>
      <c r="B35" s="159">
        <f t="shared" si="3"/>
        <v>0</v>
      </c>
      <c r="C35" s="322"/>
      <c r="D35" s="322"/>
      <c r="E35" s="159">
        <f t="shared" si="0"/>
        <v>0</v>
      </c>
      <c r="F35" s="322"/>
      <c r="G35" s="159">
        <f t="shared" si="1"/>
        <v>0</v>
      </c>
      <c r="H35" s="159">
        <f t="shared" si="2"/>
        <v>0</v>
      </c>
    </row>
    <row r="36" spans="1:8" x14ac:dyDescent="0.3">
      <c r="A36" s="320">
        <v>44228</v>
      </c>
      <c r="B36" s="159">
        <f t="shared" si="3"/>
        <v>0</v>
      </c>
      <c r="C36" s="322"/>
      <c r="D36" s="322"/>
      <c r="E36" s="159">
        <f t="shared" si="0"/>
        <v>0</v>
      </c>
      <c r="F36" s="322"/>
      <c r="G36" s="159">
        <f t="shared" si="1"/>
        <v>0</v>
      </c>
      <c r="H36" s="159">
        <f t="shared" si="2"/>
        <v>0</v>
      </c>
    </row>
    <row r="37" spans="1:8" x14ac:dyDescent="0.3">
      <c r="A37" s="320">
        <v>44256</v>
      </c>
      <c r="B37" s="159">
        <f t="shared" si="3"/>
        <v>0</v>
      </c>
      <c r="C37" s="322"/>
      <c r="D37" s="322"/>
      <c r="E37" s="159">
        <f t="shared" si="0"/>
        <v>0</v>
      </c>
      <c r="F37" s="322"/>
      <c r="G37" s="159">
        <f t="shared" si="1"/>
        <v>0</v>
      </c>
      <c r="H37" s="159">
        <f t="shared" si="2"/>
        <v>0</v>
      </c>
    </row>
    <row r="38" spans="1:8" x14ac:dyDescent="0.3">
      <c r="A38" s="320">
        <v>44287</v>
      </c>
      <c r="B38" s="159">
        <f t="shared" si="3"/>
        <v>0</v>
      </c>
      <c r="C38" s="322"/>
      <c r="D38" s="322"/>
      <c r="E38" s="159">
        <f t="shared" si="0"/>
        <v>0</v>
      </c>
      <c r="F38" s="322"/>
      <c r="G38" s="159">
        <f t="shared" si="1"/>
        <v>0</v>
      </c>
      <c r="H38" s="159">
        <f t="shared" si="2"/>
        <v>0</v>
      </c>
    </row>
    <row r="39" spans="1:8" x14ac:dyDescent="0.3">
      <c r="A39" s="320">
        <v>44317</v>
      </c>
      <c r="B39" s="159">
        <f t="shared" si="3"/>
        <v>0</v>
      </c>
      <c r="C39" s="322"/>
      <c r="D39" s="322"/>
      <c r="E39" s="159">
        <f t="shared" si="0"/>
        <v>0</v>
      </c>
      <c r="F39" s="322"/>
      <c r="G39" s="159">
        <f t="shared" si="1"/>
        <v>0</v>
      </c>
      <c r="H39" s="159">
        <f t="shared" si="2"/>
        <v>0</v>
      </c>
    </row>
    <row r="40" spans="1:8" x14ac:dyDescent="0.3">
      <c r="A40" s="320">
        <v>44348</v>
      </c>
      <c r="B40" s="159">
        <f t="shared" si="3"/>
        <v>0</v>
      </c>
      <c r="C40" s="322"/>
      <c r="D40" s="322"/>
      <c r="E40" s="159">
        <f t="shared" si="0"/>
        <v>0</v>
      </c>
      <c r="F40" s="322"/>
      <c r="G40" s="159">
        <f t="shared" si="1"/>
        <v>0</v>
      </c>
      <c r="H40" s="159">
        <f t="shared" si="2"/>
        <v>0</v>
      </c>
    </row>
    <row r="41" spans="1:8" x14ac:dyDescent="0.3">
      <c r="A41" s="320">
        <v>44378</v>
      </c>
      <c r="B41" s="159">
        <f t="shared" si="3"/>
        <v>0</v>
      </c>
      <c r="C41" s="322"/>
      <c r="D41" s="322"/>
      <c r="E41" s="159">
        <f t="shared" si="0"/>
        <v>0</v>
      </c>
      <c r="F41" s="322"/>
      <c r="G41" s="159">
        <f t="shared" si="1"/>
        <v>0</v>
      </c>
      <c r="H41" s="159">
        <f t="shared" si="2"/>
        <v>0</v>
      </c>
    </row>
    <row r="42" spans="1:8" x14ac:dyDescent="0.3">
      <c r="A42" s="320">
        <v>44409</v>
      </c>
      <c r="B42" s="159">
        <f t="shared" si="3"/>
        <v>0</v>
      </c>
      <c r="C42" s="322"/>
      <c r="D42" s="322"/>
      <c r="E42" s="159">
        <f t="shared" si="0"/>
        <v>0</v>
      </c>
      <c r="F42" s="322"/>
      <c r="G42" s="159">
        <f t="shared" si="1"/>
        <v>0</v>
      </c>
      <c r="H42" s="159">
        <f t="shared" si="2"/>
        <v>0</v>
      </c>
    </row>
    <row r="43" spans="1:8" x14ac:dyDescent="0.3">
      <c r="A43" s="320">
        <v>44440</v>
      </c>
      <c r="B43" s="159">
        <f t="shared" si="3"/>
        <v>0</v>
      </c>
      <c r="C43" s="322"/>
      <c r="D43" s="322"/>
      <c r="E43" s="159">
        <f t="shared" si="0"/>
        <v>0</v>
      </c>
      <c r="F43" s="322"/>
      <c r="G43" s="159">
        <f t="shared" si="1"/>
        <v>0</v>
      </c>
      <c r="H43" s="159">
        <f t="shared" si="2"/>
        <v>0</v>
      </c>
    </row>
    <row r="44" spans="1:8" x14ac:dyDescent="0.3">
      <c r="A44" s="320">
        <v>44470</v>
      </c>
      <c r="B44" s="159">
        <f t="shared" si="3"/>
        <v>0</v>
      </c>
      <c r="C44" s="322"/>
      <c r="D44" s="322"/>
      <c r="E44" s="159">
        <f t="shared" si="0"/>
        <v>0</v>
      </c>
      <c r="F44" s="322"/>
      <c r="G44" s="159">
        <f t="shared" si="1"/>
        <v>0</v>
      </c>
      <c r="H44" s="159">
        <f t="shared" si="2"/>
        <v>0</v>
      </c>
    </row>
    <row r="45" spans="1:8" x14ac:dyDescent="0.3">
      <c r="A45" s="320">
        <v>44501</v>
      </c>
      <c r="B45" s="159">
        <f t="shared" si="3"/>
        <v>0</v>
      </c>
      <c r="C45" s="322"/>
      <c r="D45" s="322"/>
      <c r="E45" s="159">
        <f t="shared" si="0"/>
        <v>0</v>
      </c>
      <c r="F45" s="322"/>
      <c r="G45" s="159">
        <f t="shared" si="1"/>
        <v>0</v>
      </c>
      <c r="H45" s="159">
        <f t="shared" si="2"/>
        <v>0</v>
      </c>
    </row>
    <row r="46" spans="1:8" x14ac:dyDescent="0.3">
      <c r="A46" s="320">
        <v>44531</v>
      </c>
      <c r="B46" s="159">
        <f t="shared" si="3"/>
        <v>0</v>
      </c>
      <c r="C46" s="322"/>
      <c r="D46" s="322"/>
      <c r="E46" s="159">
        <f t="shared" si="0"/>
        <v>0</v>
      </c>
      <c r="F46" s="322"/>
      <c r="G46" s="159">
        <f t="shared" si="1"/>
        <v>0</v>
      </c>
      <c r="H46" s="159">
        <f t="shared" si="2"/>
        <v>0</v>
      </c>
    </row>
    <row r="47" spans="1:8" x14ac:dyDescent="0.3">
      <c r="A47" s="320">
        <v>44562</v>
      </c>
      <c r="B47" s="159">
        <f t="shared" si="3"/>
        <v>0</v>
      </c>
      <c r="C47" s="322"/>
      <c r="D47" s="322"/>
      <c r="E47" s="159">
        <f t="shared" si="0"/>
        <v>0</v>
      </c>
      <c r="F47" s="322"/>
      <c r="G47" s="159">
        <f t="shared" si="1"/>
        <v>0</v>
      </c>
      <c r="H47" s="159">
        <f t="shared" si="2"/>
        <v>0</v>
      </c>
    </row>
    <row r="48" spans="1:8" x14ac:dyDescent="0.3">
      <c r="A48" s="320">
        <v>44593</v>
      </c>
      <c r="B48" s="159">
        <f t="shared" si="3"/>
        <v>0</v>
      </c>
      <c r="C48" s="322"/>
      <c r="D48" s="322"/>
      <c r="E48" s="159">
        <f t="shared" si="0"/>
        <v>0</v>
      </c>
      <c r="F48" s="322"/>
      <c r="G48" s="159">
        <f t="shared" si="1"/>
        <v>0</v>
      </c>
      <c r="H48" s="159">
        <f t="shared" si="2"/>
        <v>0</v>
      </c>
    </row>
    <row r="49" spans="1:8" x14ac:dyDescent="0.3">
      <c r="A49" s="320">
        <v>44621</v>
      </c>
      <c r="B49" s="159">
        <f t="shared" si="3"/>
        <v>0</v>
      </c>
      <c r="C49" s="322"/>
      <c r="D49" s="322"/>
      <c r="E49" s="159">
        <f t="shared" si="0"/>
        <v>0</v>
      </c>
      <c r="F49" s="322"/>
      <c r="G49" s="159">
        <f t="shared" si="1"/>
        <v>0</v>
      </c>
      <c r="H49" s="159">
        <f t="shared" si="2"/>
        <v>0</v>
      </c>
    </row>
    <row r="50" spans="1:8" x14ac:dyDescent="0.3">
      <c r="A50" s="320">
        <v>44652</v>
      </c>
      <c r="B50" s="159">
        <f t="shared" si="3"/>
        <v>0</v>
      </c>
      <c r="C50" s="322"/>
      <c r="D50" s="322"/>
      <c r="E50" s="159">
        <f t="shared" si="0"/>
        <v>0</v>
      </c>
      <c r="F50" s="322"/>
      <c r="G50" s="159">
        <f t="shared" si="1"/>
        <v>0</v>
      </c>
      <c r="H50" s="159">
        <f t="shared" si="2"/>
        <v>0</v>
      </c>
    </row>
    <row r="51" spans="1:8" x14ac:dyDescent="0.3">
      <c r="A51" s="320">
        <v>44682</v>
      </c>
      <c r="B51" s="159">
        <f t="shared" si="3"/>
        <v>0</v>
      </c>
      <c r="C51" s="322"/>
      <c r="D51" s="322"/>
      <c r="E51" s="159">
        <f t="shared" si="0"/>
        <v>0</v>
      </c>
      <c r="F51" s="322"/>
      <c r="G51" s="159">
        <f t="shared" si="1"/>
        <v>0</v>
      </c>
      <c r="H51" s="159">
        <f t="shared" si="2"/>
        <v>0</v>
      </c>
    </row>
    <row r="52" spans="1:8" x14ac:dyDescent="0.3">
      <c r="A52" s="358" t="s">
        <v>168</v>
      </c>
      <c r="B52" s="358"/>
      <c r="C52" s="323">
        <f>SUM(C11:C51)</f>
        <v>0</v>
      </c>
      <c r="D52" s="323">
        <f>SUM(D11:D51)</f>
        <v>0</v>
      </c>
      <c r="E52" s="323">
        <f>SUM(E11:E51)</f>
        <v>0</v>
      </c>
      <c r="F52" s="323">
        <f>SUM(F11:F51)</f>
        <v>0</v>
      </c>
      <c r="G52" s="323">
        <f>SUM(G11:G51)</f>
        <v>0</v>
      </c>
      <c r="H52" s="323"/>
    </row>
  </sheetData>
  <mergeCells count="8">
    <mergeCell ref="B8:D8"/>
    <mergeCell ref="A9:D9"/>
    <mergeCell ref="A52:B52"/>
    <mergeCell ref="B3:D3"/>
    <mergeCell ref="B4:D4"/>
    <mergeCell ref="B5:D5"/>
    <mergeCell ref="B6:D6"/>
    <mergeCell ref="B7:D7"/>
  </mergeCells>
  <pageMargins left="0.7" right="0.7" top="0.75" bottom="0.75" header="0.511811023622047" footer="0.511811023622047"/>
  <pageSetup paperSize="9" scale="68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808080"/>
    <pageSetUpPr fitToPage="1"/>
  </sheetPr>
  <dimension ref="B1:E14"/>
  <sheetViews>
    <sheetView zoomScaleNormal="100" workbookViewId="0">
      <pane ySplit="2" topLeftCell="A3" activePane="bottomLeft" state="frozen"/>
      <selection pane="bottomLeft" activeCell="B1" sqref="B1:E1"/>
    </sheetView>
  </sheetViews>
  <sheetFormatPr defaultColWidth="8.6640625" defaultRowHeight="14.4" x14ac:dyDescent="0.3"/>
  <cols>
    <col min="2" max="2" width="18" customWidth="1"/>
    <col min="3" max="3" width="20.88671875" customWidth="1"/>
    <col min="4" max="4" width="12.44140625" customWidth="1"/>
    <col min="5" max="5" width="57.6640625" customWidth="1"/>
  </cols>
  <sheetData>
    <row r="1" spans="2:5" x14ac:dyDescent="0.3">
      <c r="B1" s="428" t="s">
        <v>586</v>
      </c>
      <c r="C1" s="428"/>
      <c r="D1" s="428"/>
      <c r="E1" s="428"/>
    </row>
    <row r="2" spans="2:5" ht="30" customHeight="1" x14ac:dyDescent="0.3">
      <c r="B2" s="324" t="s">
        <v>398</v>
      </c>
      <c r="C2" s="324" t="s">
        <v>587</v>
      </c>
      <c r="D2" s="324" t="s">
        <v>588</v>
      </c>
      <c r="E2" s="324" t="s">
        <v>589</v>
      </c>
    </row>
    <row r="3" spans="2:5" x14ac:dyDescent="0.3">
      <c r="B3" s="325" t="s">
        <v>590</v>
      </c>
      <c r="C3" s="326" t="s">
        <v>591</v>
      </c>
      <c r="D3" s="327"/>
      <c r="E3" s="326"/>
    </row>
    <row r="4" spans="2:5" x14ac:dyDescent="0.3">
      <c r="B4" s="325" t="s">
        <v>592</v>
      </c>
      <c r="C4" s="326" t="s">
        <v>591</v>
      </c>
      <c r="D4" s="327"/>
      <c r="E4" s="326"/>
    </row>
    <row r="5" spans="2:5" ht="15" customHeight="1" x14ac:dyDescent="0.3">
      <c r="B5" s="429" t="s">
        <v>593</v>
      </c>
      <c r="C5" s="326" t="s">
        <v>591</v>
      </c>
      <c r="D5" s="327"/>
      <c r="E5" s="328"/>
    </row>
    <row r="6" spans="2:5" x14ac:dyDescent="0.3">
      <c r="B6" s="429"/>
      <c r="C6" s="326" t="s">
        <v>591</v>
      </c>
      <c r="D6" s="327"/>
      <c r="E6" s="328"/>
    </row>
    <row r="7" spans="2:5" x14ac:dyDescent="0.3">
      <c r="B7" s="325" t="s">
        <v>594</v>
      </c>
      <c r="C7" s="326" t="s">
        <v>591</v>
      </c>
      <c r="D7" s="327"/>
      <c r="E7" s="326"/>
    </row>
    <row r="8" spans="2:5" x14ac:dyDescent="0.3">
      <c r="B8" s="325" t="s">
        <v>595</v>
      </c>
      <c r="C8" s="326" t="s">
        <v>591</v>
      </c>
      <c r="D8" s="327"/>
      <c r="E8" s="326"/>
    </row>
    <row r="9" spans="2:5" x14ac:dyDescent="0.3">
      <c r="B9" s="325" t="s">
        <v>596</v>
      </c>
      <c r="C9" s="326" t="s">
        <v>591</v>
      </c>
      <c r="D9" s="327"/>
      <c r="E9" s="326"/>
    </row>
    <row r="10" spans="2:5" x14ac:dyDescent="0.3">
      <c r="B10" s="325" t="s">
        <v>597</v>
      </c>
      <c r="C10" s="326" t="s">
        <v>591</v>
      </c>
      <c r="D10" s="327"/>
      <c r="E10" s="326"/>
    </row>
    <row r="11" spans="2:5" x14ac:dyDescent="0.3">
      <c r="B11" s="325" t="s">
        <v>598</v>
      </c>
      <c r="C11" s="326" t="s">
        <v>591</v>
      </c>
      <c r="D11" s="327"/>
      <c r="E11" s="326"/>
    </row>
    <row r="12" spans="2:5" x14ac:dyDescent="0.3">
      <c r="B12" s="325" t="s">
        <v>599</v>
      </c>
      <c r="C12" s="326" t="s">
        <v>591</v>
      </c>
      <c r="D12" s="327"/>
      <c r="E12" s="326"/>
    </row>
    <row r="13" spans="2:5" x14ac:dyDescent="0.3">
      <c r="B13" s="325" t="s">
        <v>600</v>
      </c>
      <c r="C13" s="326" t="s">
        <v>591</v>
      </c>
      <c r="D13" s="327"/>
      <c r="E13" s="326"/>
    </row>
    <row r="14" spans="2:5" x14ac:dyDescent="0.3">
      <c r="B14" s="329"/>
      <c r="C14" s="330"/>
      <c r="D14" s="330"/>
      <c r="E14" s="330"/>
    </row>
  </sheetData>
  <mergeCells count="2">
    <mergeCell ref="B1:E1"/>
    <mergeCell ref="B5:B6"/>
  </mergeCells>
  <dataValidations count="1">
    <dataValidation type="list" allowBlank="1" showInputMessage="1" showErrorMessage="1" sqref="C3:C14" xr:uid="{00000000-0002-0000-1300-000000000000}">
      <formula1>"Yes,No,Pending"</formula1>
      <formula2>0</formula2>
    </dataValidation>
  </dataValidations>
  <pageMargins left="0.2" right="0.2" top="0.2" bottom="0.2" header="0.511811023622047" footer="0.1"/>
  <pageSetup fitToHeight="2" orientation="portrait" horizontalDpi="300" verticalDpi="300"/>
  <headerFooter>
    <oddFooter>&amp;C&amp;F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2E75B6"/>
    <pageSetUpPr fitToPage="1"/>
  </sheetPr>
  <dimension ref="B1:I15"/>
  <sheetViews>
    <sheetView zoomScaleNormal="100" workbookViewId="0">
      <pane ySplit="2" topLeftCell="A3" activePane="bottomLeft" state="frozen"/>
      <selection pane="bottomLeft" activeCell="E2" sqref="E2"/>
    </sheetView>
  </sheetViews>
  <sheetFormatPr defaultColWidth="8.6640625" defaultRowHeight="14.4" x14ac:dyDescent="0.3"/>
  <cols>
    <col min="3" max="3" width="16.33203125" customWidth="1"/>
    <col min="4" max="4" width="17.5546875" customWidth="1"/>
    <col min="5" max="5" width="18.33203125" customWidth="1"/>
    <col min="6" max="6" width="19.6640625" customWidth="1"/>
    <col min="7" max="7" width="15.33203125" customWidth="1"/>
    <col min="8" max="8" width="23" customWidth="1"/>
    <col min="9" max="9" width="22.33203125" customWidth="1"/>
  </cols>
  <sheetData>
    <row r="1" spans="2:9" x14ac:dyDescent="0.3">
      <c r="B1" s="428" t="s">
        <v>601</v>
      </c>
      <c r="C1" s="428"/>
      <c r="D1" s="428"/>
      <c r="E1" s="428"/>
      <c r="F1" s="428"/>
      <c r="G1" s="428"/>
      <c r="H1" s="428"/>
      <c r="I1" s="428"/>
    </row>
    <row r="2" spans="2:9" x14ac:dyDescent="0.3">
      <c r="B2" s="331" t="s">
        <v>602</v>
      </c>
      <c r="C2" s="332" t="s">
        <v>603</v>
      </c>
      <c r="D2" s="332" t="s">
        <v>604</v>
      </c>
      <c r="E2" s="331" t="s">
        <v>605</v>
      </c>
      <c r="F2" s="331" t="s">
        <v>606</v>
      </c>
      <c r="G2" s="331" t="s">
        <v>607</v>
      </c>
      <c r="H2" s="331" t="s">
        <v>608</v>
      </c>
      <c r="I2" s="331" t="s">
        <v>609</v>
      </c>
    </row>
    <row r="3" spans="2:9" x14ac:dyDescent="0.3">
      <c r="B3" s="59">
        <v>1</v>
      </c>
      <c r="C3" s="107"/>
      <c r="D3" s="107"/>
      <c r="E3" s="107"/>
      <c r="F3" s="107"/>
      <c r="G3" s="107"/>
      <c r="H3" s="107"/>
      <c r="I3" s="107"/>
    </row>
    <row r="4" spans="2:9" x14ac:dyDescent="0.3">
      <c r="B4" s="59">
        <v>2</v>
      </c>
      <c r="C4" s="107"/>
      <c r="D4" s="107"/>
      <c r="E4" s="107"/>
      <c r="F4" s="107"/>
      <c r="G4" s="107"/>
      <c r="H4" s="107"/>
      <c r="I4" s="107"/>
    </row>
    <row r="5" spans="2:9" x14ac:dyDescent="0.3">
      <c r="B5" s="59">
        <v>3</v>
      </c>
      <c r="C5" s="107"/>
      <c r="D5" s="107"/>
      <c r="E5" s="107"/>
      <c r="F5" s="107"/>
      <c r="G5" s="107"/>
      <c r="H5" s="107"/>
      <c r="I5" s="107"/>
    </row>
    <row r="6" spans="2:9" x14ac:dyDescent="0.3">
      <c r="B6" s="59">
        <v>4</v>
      </c>
      <c r="C6" s="107"/>
      <c r="D6" s="107"/>
      <c r="E6" s="107"/>
      <c r="F6" s="107"/>
      <c r="G6" s="107"/>
      <c r="H6" s="107"/>
      <c r="I6" s="107"/>
    </row>
    <row r="7" spans="2:9" x14ac:dyDescent="0.3">
      <c r="B7" s="59">
        <v>5</v>
      </c>
      <c r="C7" s="107"/>
      <c r="D7" s="107"/>
      <c r="E7" s="107"/>
      <c r="F7" s="107"/>
      <c r="G7" s="107"/>
      <c r="H7" s="107"/>
      <c r="I7" s="107"/>
    </row>
    <row r="8" spans="2:9" x14ac:dyDescent="0.3">
      <c r="B8" s="59">
        <v>6</v>
      </c>
      <c r="C8" s="107"/>
      <c r="D8" s="107"/>
      <c r="E8" s="107"/>
      <c r="F8" s="107"/>
      <c r="G8" s="107"/>
      <c r="H8" s="107"/>
      <c r="I8" s="107"/>
    </row>
    <row r="9" spans="2:9" x14ac:dyDescent="0.3">
      <c r="B9" s="59">
        <v>7</v>
      </c>
      <c r="C9" s="107"/>
      <c r="D9" s="107"/>
      <c r="E9" s="107"/>
      <c r="F9" s="107"/>
      <c r="G9" s="107"/>
      <c r="H9" s="107"/>
      <c r="I9" s="107"/>
    </row>
    <row r="10" spans="2:9" x14ac:dyDescent="0.3">
      <c r="B10" s="59">
        <v>8</v>
      </c>
      <c r="C10" s="107"/>
      <c r="D10" s="107"/>
      <c r="E10" s="107"/>
      <c r="F10" s="107"/>
      <c r="G10" s="107"/>
      <c r="H10" s="107"/>
      <c r="I10" s="107"/>
    </row>
    <row r="11" spans="2:9" x14ac:dyDescent="0.3">
      <c r="B11" s="59">
        <v>9</v>
      </c>
      <c r="C11" s="107"/>
      <c r="D11" s="107"/>
      <c r="E11" s="107"/>
      <c r="F11" s="107"/>
      <c r="G11" s="107"/>
      <c r="H11" s="107"/>
      <c r="I11" s="107"/>
    </row>
    <row r="12" spans="2:9" x14ac:dyDescent="0.3">
      <c r="B12" s="59">
        <v>10</v>
      </c>
      <c r="C12" s="107"/>
      <c r="D12" s="107"/>
      <c r="E12" s="107"/>
      <c r="F12" s="107"/>
      <c r="G12" s="107"/>
      <c r="H12" s="107"/>
      <c r="I12" s="107"/>
    </row>
    <row r="13" spans="2:9" x14ac:dyDescent="0.3">
      <c r="B13" s="59">
        <v>11</v>
      </c>
      <c r="C13" s="107"/>
      <c r="D13" s="107"/>
      <c r="E13" s="107"/>
      <c r="F13" s="107"/>
      <c r="G13" s="107"/>
      <c r="H13" s="107"/>
      <c r="I13" s="107"/>
    </row>
    <row r="14" spans="2:9" x14ac:dyDescent="0.3">
      <c r="B14" s="59">
        <v>12</v>
      </c>
      <c r="C14" s="107"/>
      <c r="D14" s="107"/>
      <c r="E14" s="107"/>
      <c r="F14" s="107"/>
      <c r="G14" s="107"/>
      <c r="H14" s="107"/>
      <c r="I14" s="107"/>
    </row>
    <row r="15" spans="2:9" x14ac:dyDescent="0.3">
      <c r="B15" s="395" t="s">
        <v>610</v>
      </c>
      <c r="C15" s="395"/>
      <c r="D15" s="395"/>
      <c r="E15" s="395"/>
      <c r="F15" s="395"/>
      <c r="G15" s="331">
        <f>SUM(G3:G14)</f>
        <v>0</v>
      </c>
      <c r="H15" s="430"/>
      <c r="I15" s="430"/>
    </row>
  </sheetData>
  <mergeCells count="3">
    <mergeCell ref="B1:I1"/>
    <mergeCell ref="B15:F15"/>
    <mergeCell ref="H15:I15"/>
  </mergeCells>
  <dataValidations count="2">
    <dataValidation type="list" allowBlank="1" showInputMessage="1" showErrorMessage="1" sqref="C3:C14" xr:uid="{00000000-0002-0000-1400-000000000000}">
      <formula1>"SORP,Residential,SOCP,Commercial,SOIP,Plot,Agri Land"</formula1>
      <formula2>0</formula2>
    </dataValidation>
    <dataValidation type="list" allowBlank="1" showInputMessage="1" showErrorMessage="1" sqref="H3:H14" xr:uid="{00000000-0002-0000-1400-000001000000}">
      <formula1>"Mortgaged,Free"</formula1>
      <formula2>0</formula2>
    </dataValidation>
  </dataValidations>
  <pageMargins left="0.2" right="0.2" top="0.2" bottom="0.2" header="0.511811023622047" footer="0.1"/>
  <pageSetup fitToHeight="2" orientation="portrait" horizontalDpi="300" verticalDpi="300"/>
  <headerFooter>
    <oddFooter>&amp;C&amp;F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808080"/>
    <pageSetUpPr fitToPage="1"/>
  </sheetPr>
  <dimension ref="A2:M73"/>
  <sheetViews>
    <sheetView zoomScaleNormal="100" workbookViewId="0">
      <pane ySplit="3" topLeftCell="A4" activePane="bottomLeft" state="frozen"/>
      <selection pane="bottomLeft" activeCell="A3" sqref="A3"/>
    </sheetView>
  </sheetViews>
  <sheetFormatPr defaultColWidth="8.88671875" defaultRowHeight="14.4" x14ac:dyDescent="0.3"/>
  <cols>
    <col min="2" max="2" width="10.33203125" customWidth="1"/>
    <col min="3" max="3" width="25.88671875" customWidth="1"/>
    <col min="4" max="4" width="21.109375" customWidth="1"/>
    <col min="5" max="5" width="41.109375" customWidth="1"/>
    <col min="6" max="6" width="28.88671875" customWidth="1"/>
    <col min="8" max="13" width="8.88671875" hidden="1"/>
  </cols>
  <sheetData>
    <row r="2" spans="1:13" x14ac:dyDescent="0.3">
      <c r="A2" s="395" t="s">
        <v>611</v>
      </c>
      <c r="B2" s="395"/>
      <c r="C2" s="395"/>
      <c r="D2" s="395"/>
      <c r="E2" s="395"/>
      <c r="F2" s="395"/>
      <c r="G2" s="395"/>
    </row>
    <row r="3" spans="1:13" ht="30" customHeight="1" x14ac:dyDescent="0.3">
      <c r="A3" s="331" t="s">
        <v>612</v>
      </c>
      <c r="B3" s="332" t="s">
        <v>613</v>
      </c>
      <c r="C3" s="332" t="s">
        <v>614</v>
      </c>
      <c r="D3" s="331" t="s">
        <v>615</v>
      </c>
      <c r="E3" s="331" t="s">
        <v>616</v>
      </c>
      <c r="F3" s="331" t="s">
        <v>617</v>
      </c>
      <c r="G3" s="331" t="s">
        <v>587</v>
      </c>
      <c r="H3" s="431" t="s">
        <v>618</v>
      </c>
      <c r="I3" s="431"/>
      <c r="J3" s="431"/>
      <c r="K3" s="331" t="s">
        <v>615</v>
      </c>
      <c r="L3" s="331" t="s">
        <v>616</v>
      </c>
      <c r="M3" s="331" t="s">
        <v>617</v>
      </c>
    </row>
    <row r="4" spans="1:13" x14ac:dyDescent="0.3">
      <c r="A4" s="333">
        <v>1</v>
      </c>
      <c r="B4" s="333" t="s">
        <v>619</v>
      </c>
      <c r="C4" s="333" t="s">
        <v>620</v>
      </c>
      <c r="D4" s="333" t="s">
        <v>621</v>
      </c>
      <c r="E4" s="153" t="s">
        <v>622</v>
      </c>
      <c r="F4" s="333" t="s">
        <v>623</v>
      </c>
      <c r="G4" s="107"/>
      <c r="H4">
        <f t="shared" ref="H4:H46" si="0">IF(G4="Yes",1,0)</f>
        <v>0</v>
      </c>
      <c r="I4">
        <f>H4</f>
        <v>0</v>
      </c>
      <c r="J4">
        <f t="shared" ref="J4:J46" si="1">IF(H4&gt;0,I4,0)</f>
        <v>0</v>
      </c>
      <c r="K4" t="str">
        <f t="shared" ref="K4:K46" si="2">D4</f>
        <v>Co-Applicant Norm</v>
      </c>
      <c r="L4" t="str">
        <f t="shared" ref="L4:L46" si="3">E4</f>
        <v>Minimum Co-applicant norms not met</v>
      </c>
      <c r="M4" t="str">
        <f t="shared" ref="M4:M46" si="4">F4</f>
        <v>L2</v>
      </c>
    </row>
    <row r="5" spans="1:13" ht="25.5" customHeight="1" x14ac:dyDescent="0.3">
      <c r="A5" s="333">
        <v>2</v>
      </c>
      <c r="B5" s="333" t="s">
        <v>624</v>
      </c>
      <c r="C5" s="333" t="s">
        <v>620</v>
      </c>
      <c r="D5" s="333" t="s">
        <v>621</v>
      </c>
      <c r="E5" s="153" t="s">
        <v>625</v>
      </c>
      <c r="F5" s="333" t="s">
        <v>626</v>
      </c>
      <c r="G5" s="107"/>
      <c r="H5">
        <f t="shared" si="0"/>
        <v>0</v>
      </c>
      <c r="I5">
        <f t="shared" ref="I5:I46" si="5">H5+I4</f>
        <v>0</v>
      </c>
      <c r="J5">
        <f t="shared" si="1"/>
        <v>0</v>
      </c>
      <c r="K5" t="str">
        <f t="shared" si="2"/>
        <v>Co-Applicant Norm</v>
      </c>
      <c r="L5" t="str">
        <f t="shared" si="3"/>
        <v>Minimum Co-applicant norms (including age norms) not met</v>
      </c>
      <c r="M5" t="str">
        <f t="shared" si="4"/>
        <v>L1</v>
      </c>
    </row>
    <row r="6" spans="1:13" x14ac:dyDescent="0.3">
      <c r="A6" s="333">
        <v>3</v>
      </c>
      <c r="B6" s="333" t="s">
        <v>619</v>
      </c>
      <c r="C6" s="333" t="s">
        <v>620</v>
      </c>
      <c r="D6" s="333" t="s">
        <v>627</v>
      </c>
      <c r="E6" s="153" t="s">
        <v>628</v>
      </c>
      <c r="F6" s="333" t="s">
        <v>629</v>
      </c>
      <c r="G6" s="107"/>
      <c r="H6">
        <f t="shared" si="0"/>
        <v>0</v>
      </c>
      <c r="I6">
        <f t="shared" si="5"/>
        <v>0</v>
      </c>
      <c r="J6">
        <f t="shared" si="1"/>
        <v>0</v>
      </c>
      <c r="K6" t="str">
        <f t="shared" si="2"/>
        <v>Age Norms</v>
      </c>
      <c r="L6" t="str">
        <f t="shared" si="3"/>
        <v>Maximum age norms not met</v>
      </c>
      <c r="M6" t="str">
        <f t="shared" si="4"/>
        <v>L3</v>
      </c>
    </row>
    <row r="7" spans="1:13" x14ac:dyDescent="0.3">
      <c r="A7" s="333">
        <v>4</v>
      </c>
      <c r="B7" s="333" t="s">
        <v>619</v>
      </c>
      <c r="C7" s="333" t="s">
        <v>620</v>
      </c>
      <c r="D7" s="333" t="s">
        <v>627</v>
      </c>
      <c r="E7" s="153" t="s">
        <v>630</v>
      </c>
      <c r="F7" s="333" t="s">
        <v>623</v>
      </c>
      <c r="G7" s="107"/>
      <c r="H7">
        <f t="shared" si="0"/>
        <v>0</v>
      </c>
      <c r="I7">
        <f t="shared" si="5"/>
        <v>0</v>
      </c>
      <c r="J7">
        <f t="shared" si="1"/>
        <v>0</v>
      </c>
      <c r="K7" t="str">
        <f t="shared" si="2"/>
        <v>Age Norms</v>
      </c>
      <c r="L7" t="str">
        <f t="shared" si="3"/>
        <v>Maximum age norms not met for Property owner</v>
      </c>
      <c r="M7" t="str">
        <f t="shared" si="4"/>
        <v>L2</v>
      </c>
    </row>
    <row r="8" spans="1:13" ht="25.5" customHeight="1" x14ac:dyDescent="0.3">
      <c r="A8" s="333">
        <v>5</v>
      </c>
      <c r="B8" s="333" t="s">
        <v>631</v>
      </c>
      <c r="C8" s="333" t="s">
        <v>620</v>
      </c>
      <c r="D8" s="333" t="s">
        <v>632</v>
      </c>
      <c r="E8" s="153" t="s">
        <v>633</v>
      </c>
      <c r="F8" s="333" t="s">
        <v>623</v>
      </c>
      <c r="G8" s="107"/>
      <c r="H8">
        <f t="shared" si="0"/>
        <v>0</v>
      </c>
      <c r="I8">
        <f t="shared" si="5"/>
        <v>0</v>
      </c>
      <c r="J8">
        <f t="shared" si="1"/>
        <v>0</v>
      </c>
      <c r="K8" t="str">
        <f t="shared" si="2"/>
        <v>Work Experience Norms</v>
      </c>
      <c r="L8" t="str">
        <f t="shared" si="3"/>
        <v>Work experience/Business Vintage norms not met (less than 2 years non deviatable)</v>
      </c>
      <c r="M8" t="str">
        <f t="shared" si="4"/>
        <v>L2</v>
      </c>
    </row>
    <row r="9" spans="1:13" x14ac:dyDescent="0.3">
      <c r="A9" s="333">
        <v>6</v>
      </c>
      <c r="B9" s="333" t="s">
        <v>619</v>
      </c>
      <c r="C9" s="333" t="s">
        <v>620</v>
      </c>
      <c r="D9" s="333" t="s">
        <v>634</v>
      </c>
      <c r="E9" s="153" t="s">
        <v>635</v>
      </c>
      <c r="F9" s="333" t="s">
        <v>623</v>
      </c>
      <c r="G9" s="107"/>
      <c r="H9">
        <f t="shared" si="0"/>
        <v>0</v>
      </c>
      <c r="I9">
        <f t="shared" si="5"/>
        <v>0</v>
      </c>
      <c r="J9">
        <f t="shared" si="1"/>
        <v>0</v>
      </c>
      <c r="K9" t="str">
        <f t="shared" si="2"/>
        <v>Qualifying Criteria</v>
      </c>
      <c r="L9" t="str">
        <f t="shared" si="3"/>
        <v>Minimum repayment qualifying criteria not met</v>
      </c>
      <c r="M9" t="str">
        <f t="shared" si="4"/>
        <v>L2</v>
      </c>
    </row>
    <row r="10" spans="1:13" x14ac:dyDescent="0.3">
      <c r="A10" s="333">
        <v>7</v>
      </c>
      <c r="B10" s="333" t="s">
        <v>636</v>
      </c>
      <c r="C10" s="333" t="s">
        <v>620</v>
      </c>
      <c r="D10" s="333" t="s">
        <v>637</v>
      </c>
      <c r="E10" s="153" t="s">
        <v>638</v>
      </c>
      <c r="F10" s="333" t="s">
        <v>623</v>
      </c>
      <c r="G10" s="107"/>
      <c r="H10">
        <f t="shared" si="0"/>
        <v>0</v>
      </c>
      <c r="I10">
        <f t="shared" si="5"/>
        <v>0</v>
      </c>
      <c r="J10">
        <f t="shared" si="1"/>
        <v>0</v>
      </c>
      <c r="K10" t="str">
        <f t="shared" si="2"/>
        <v>Collateral Type</v>
      </c>
      <c r="L10" t="str">
        <f t="shared" si="3"/>
        <v>Special Usage Property (Not applicable in HL)</v>
      </c>
      <c r="M10" t="str">
        <f t="shared" si="4"/>
        <v>L2</v>
      </c>
    </row>
    <row r="11" spans="1:13" x14ac:dyDescent="0.3">
      <c r="A11" s="333">
        <v>8</v>
      </c>
      <c r="B11" s="333" t="s">
        <v>631</v>
      </c>
      <c r="C11" s="333" t="s">
        <v>620</v>
      </c>
      <c r="D11" s="333" t="s">
        <v>620</v>
      </c>
      <c r="E11" s="153" t="s">
        <v>639</v>
      </c>
      <c r="F11" s="333" t="s">
        <v>626</v>
      </c>
      <c r="G11" s="107"/>
      <c r="H11">
        <f t="shared" si="0"/>
        <v>0</v>
      </c>
      <c r="I11">
        <f t="shared" si="5"/>
        <v>0</v>
      </c>
      <c r="J11">
        <f t="shared" si="1"/>
        <v>0</v>
      </c>
      <c r="K11" t="str">
        <f t="shared" si="2"/>
        <v>Borrower Type</v>
      </c>
      <c r="L11" t="str">
        <f t="shared" si="3"/>
        <v>Caution Profile</v>
      </c>
      <c r="M11" t="str">
        <f t="shared" si="4"/>
        <v>L1</v>
      </c>
    </row>
    <row r="12" spans="1:13" x14ac:dyDescent="0.3">
      <c r="A12" s="333">
        <v>9</v>
      </c>
      <c r="B12" s="333" t="s">
        <v>631</v>
      </c>
      <c r="C12" s="333" t="s">
        <v>620</v>
      </c>
      <c r="D12" s="333" t="s">
        <v>620</v>
      </c>
      <c r="E12" s="153" t="s">
        <v>640</v>
      </c>
      <c r="F12" s="333" t="s">
        <v>626</v>
      </c>
      <c r="G12" s="107"/>
      <c r="H12">
        <f t="shared" si="0"/>
        <v>0</v>
      </c>
      <c r="I12">
        <f t="shared" si="5"/>
        <v>0</v>
      </c>
      <c r="J12">
        <f t="shared" si="1"/>
        <v>0</v>
      </c>
      <c r="K12" t="str">
        <f t="shared" si="2"/>
        <v>Borrower Type</v>
      </c>
      <c r="L12" t="str">
        <f t="shared" si="3"/>
        <v>Income Ownership matrix not met</v>
      </c>
      <c r="M12" t="str">
        <f t="shared" si="4"/>
        <v>L1</v>
      </c>
    </row>
    <row r="13" spans="1:13" ht="25.5" customHeight="1" x14ac:dyDescent="0.3">
      <c r="A13" s="333">
        <v>10</v>
      </c>
      <c r="B13" s="333" t="s">
        <v>636</v>
      </c>
      <c r="C13" s="333" t="s">
        <v>620</v>
      </c>
      <c r="D13" s="333" t="s">
        <v>641</v>
      </c>
      <c r="E13" s="334" t="s">
        <v>642</v>
      </c>
      <c r="F13" s="333" t="s">
        <v>623</v>
      </c>
      <c r="G13" s="107"/>
      <c r="H13">
        <f t="shared" si="0"/>
        <v>0</v>
      </c>
      <c r="I13">
        <f t="shared" si="5"/>
        <v>0</v>
      </c>
      <c r="J13">
        <f t="shared" si="1"/>
        <v>0</v>
      </c>
      <c r="K13" t="str">
        <f t="shared" si="2"/>
        <v>LTV Deviation</v>
      </c>
      <c r="L13" t="str">
        <f t="shared" si="3"/>
        <v>up to 5% higher than policy norms (Not applicable for HL and MLAP)</v>
      </c>
      <c r="M13" t="str">
        <f t="shared" si="4"/>
        <v>L2</v>
      </c>
    </row>
    <row r="14" spans="1:13" ht="51" customHeight="1" x14ac:dyDescent="0.3">
      <c r="A14" s="333">
        <v>11</v>
      </c>
      <c r="B14" s="333" t="s">
        <v>631</v>
      </c>
      <c r="C14" s="333" t="s">
        <v>620</v>
      </c>
      <c r="D14" s="333" t="s">
        <v>641</v>
      </c>
      <c r="E14" s="153" t="s">
        <v>643</v>
      </c>
      <c r="F14" s="333" t="s">
        <v>626</v>
      </c>
      <c r="G14" s="107"/>
      <c r="H14">
        <f t="shared" si="0"/>
        <v>0</v>
      </c>
      <c r="I14">
        <f t="shared" si="5"/>
        <v>0</v>
      </c>
      <c r="J14">
        <f t="shared" si="1"/>
        <v>0</v>
      </c>
      <c r="K14" t="str">
        <f t="shared" si="2"/>
        <v>LTV Deviation</v>
      </c>
      <c r="L14" s="335" t="str">
        <f t="shared" si="3"/>
        <v xml:space="preserve">up to 10% higher than policy norm (but not 
breaching regulatory guidelines in case of HL- 90% for loan upto 30 lacs, 80% for 30.01 to 75 lacs and 75% for &gt;75 Lacs) </v>
      </c>
      <c r="M14" t="str">
        <f t="shared" si="4"/>
        <v>L1</v>
      </c>
    </row>
    <row r="15" spans="1:13" x14ac:dyDescent="0.3">
      <c r="A15" s="333">
        <v>12</v>
      </c>
      <c r="B15" s="333" t="s">
        <v>619</v>
      </c>
      <c r="C15" s="333" t="s">
        <v>644</v>
      </c>
      <c r="D15" s="333" t="s">
        <v>645</v>
      </c>
      <c r="E15" s="153" t="s">
        <v>646</v>
      </c>
      <c r="F15" s="333" t="s">
        <v>626</v>
      </c>
      <c r="G15" s="107"/>
      <c r="H15">
        <f t="shared" si="0"/>
        <v>0</v>
      </c>
      <c r="I15">
        <f t="shared" si="5"/>
        <v>0</v>
      </c>
      <c r="J15">
        <f t="shared" si="1"/>
        <v>0</v>
      </c>
      <c r="K15" t="str">
        <f t="shared" si="2"/>
        <v>Minimum Income Norms</v>
      </c>
      <c r="L15" t="str">
        <f t="shared" si="3"/>
        <v>Minimum income norms not met</v>
      </c>
      <c r="M15" t="str">
        <f t="shared" si="4"/>
        <v>L1</v>
      </c>
    </row>
    <row r="16" spans="1:13" x14ac:dyDescent="0.3">
      <c r="A16" s="333">
        <v>13</v>
      </c>
      <c r="B16" s="333" t="s">
        <v>619</v>
      </c>
      <c r="C16" s="333" t="s">
        <v>644</v>
      </c>
      <c r="D16" s="333" t="s">
        <v>647</v>
      </c>
      <c r="E16" s="153" t="s">
        <v>648</v>
      </c>
      <c r="F16" s="333" t="s">
        <v>626</v>
      </c>
      <c r="G16" s="107"/>
      <c r="H16">
        <f t="shared" si="0"/>
        <v>0</v>
      </c>
      <c r="I16">
        <f t="shared" si="5"/>
        <v>0</v>
      </c>
      <c r="J16">
        <f t="shared" si="1"/>
        <v>0</v>
      </c>
      <c r="K16" t="str">
        <f t="shared" si="2"/>
        <v xml:space="preserve">Disbursement Norms </v>
      </c>
      <c r="L16" t="str">
        <f t="shared" si="3"/>
        <v>Disbursement Norms not met</v>
      </c>
      <c r="M16" t="str">
        <f t="shared" si="4"/>
        <v>L1</v>
      </c>
    </row>
    <row r="17" spans="1:13" x14ac:dyDescent="0.3">
      <c r="A17" s="333">
        <v>14</v>
      </c>
      <c r="B17" s="333" t="s">
        <v>631</v>
      </c>
      <c r="C17" s="333" t="s">
        <v>644</v>
      </c>
      <c r="D17" s="333" t="s">
        <v>649</v>
      </c>
      <c r="E17" s="153" t="s">
        <v>650</v>
      </c>
      <c r="F17" s="333" t="s">
        <v>626</v>
      </c>
      <c r="G17" s="107"/>
      <c r="H17">
        <f t="shared" si="0"/>
        <v>0</v>
      </c>
      <c r="I17">
        <f t="shared" si="5"/>
        <v>0</v>
      </c>
      <c r="J17">
        <f t="shared" si="1"/>
        <v>0</v>
      </c>
      <c r="K17" t="str">
        <f t="shared" si="2"/>
        <v>Geo Limit norms</v>
      </c>
      <c r="L17" t="str">
        <f t="shared" si="3"/>
        <v>Geo limit norms not met</v>
      </c>
      <c r="M17" t="str">
        <f t="shared" si="4"/>
        <v>L1</v>
      </c>
    </row>
    <row r="18" spans="1:13" x14ac:dyDescent="0.3">
      <c r="A18" s="333">
        <v>15</v>
      </c>
      <c r="B18" s="333" t="s">
        <v>631</v>
      </c>
      <c r="C18" s="333" t="s">
        <v>651</v>
      </c>
      <c r="D18" s="333" t="s">
        <v>652</v>
      </c>
      <c r="E18" s="153" t="s">
        <v>653</v>
      </c>
      <c r="F18" s="336"/>
      <c r="G18" s="107"/>
      <c r="H18">
        <f t="shared" si="0"/>
        <v>0</v>
      </c>
      <c r="I18">
        <f t="shared" si="5"/>
        <v>0</v>
      </c>
      <c r="J18">
        <f t="shared" si="1"/>
        <v>0</v>
      </c>
      <c r="K18" t="str">
        <f t="shared" si="2"/>
        <v>Field Investigation</v>
      </c>
      <c r="L18" t="str">
        <f t="shared" si="3"/>
        <v>Field Investigation negative</v>
      </c>
      <c r="M18">
        <f t="shared" si="4"/>
        <v>0</v>
      </c>
    </row>
    <row r="19" spans="1:13" x14ac:dyDescent="0.3">
      <c r="A19" s="333">
        <v>16</v>
      </c>
      <c r="B19" s="333" t="s">
        <v>619</v>
      </c>
      <c r="C19" s="333" t="s">
        <v>651</v>
      </c>
      <c r="D19" s="333" t="s">
        <v>654</v>
      </c>
      <c r="E19" s="153" t="s">
        <v>655</v>
      </c>
      <c r="F19" s="333" t="s">
        <v>626</v>
      </c>
      <c r="G19" s="107"/>
      <c r="H19">
        <f t="shared" si="0"/>
        <v>0</v>
      </c>
      <c r="I19">
        <f t="shared" si="5"/>
        <v>0</v>
      </c>
      <c r="J19">
        <f t="shared" si="1"/>
        <v>0</v>
      </c>
      <c r="K19" t="str">
        <f t="shared" si="2"/>
        <v>Clubbing of Income</v>
      </c>
      <c r="L19" t="str">
        <f t="shared" si="3"/>
        <v>Clubbing of income norms not met</v>
      </c>
      <c r="M19" t="str">
        <f t="shared" si="4"/>
        <v>L1</v>
      </c>
    </row>
    <row r="20" spans="1:13" ht="25.5" customHeight="1" x14ac:dyDescent="0.3">
      <c r="A20" s="333">
        <v>17</v>
      </c>
      <c r="B20" s="333" t="s">
        <v>631</v>
      </c>
      <c r="C20" s="333" t="s">
        <v>651</v>
      </c>
      <c r="D20" s="333" t="s">
        <v>656</v>
      </c>
      <c r="E20" s="153" t="s">
        <v>657</v>
      </c>
      <c r="F20" s="336"/>
      <c r="G20" s="107"/>
      <c r="H20">
        <f t="shared" si="0"/>
        <v>0</v>
      </c>
      <c r="I20">
        <f t="shared" si="5"/>
        <v>0</v>
      </c>
      <c r="J20">
        <f t="shared" si="1"/>
        <v>0</v>
      </c>
      <c r="K20" t="str">
        <f t="shared" si="2"/>
        <v xml:space="preserve">Minimum Bureau Score </v>
      </c>
      <c r="L20" t="str">
        <f t="shared" si="3"/>
        <v>Negative CIR (CIBIL/CRIF/Experian/Highmark/Equifax )</v>
      </c>
      <c r="M20">
        <f t="shared" si="4"/>
        <v>0</v>
      </c>
    </row>
    <row r="21" spans="1:13" ht="25.5" customHeight="1" x14ac:dyDescent="0.3">
      <c r="A21" s="333">
        <v>18</v>
      </c>
      <c r="B21" s="333" t="s">
        <v>619</v>
      </c>
      <c r="C21" s="333" t="s">
        <v>651</v>
      </c>
      <c r="D21" s="333" t="s">
        <v>658</v>
      </c>
      <c r="E21" s="153" t="s">
        <v>659</v>
      </c>
      <c r="F21" s="333" t="s">
        <v>626</v>
      </c>
      <c r="G21" s="107"/>
      <c r="H21">
        <f t="shared" si="0"/>
        <v>0</v>
      </c>
      <c r="I21">
        <f t="shared" si="5"/>
        <v>0</v>
      </c>
      <c r="J21">
        <f t="shared" si="1"/>
        <v>0</v>
      </c>
      <c r="K21" t="str">
        <f t="shared" si="2"/>
        <v>Personal Discussion Norms</v>
      </c>
      <c r="L21" t="str">
        <f t="shared" si="3"/>
        <v>Personal Discussion norms not met</v>
      </c>
      <c r="M21" t="str">
        <f t="shared" si="4"/>
        <v>L1</v>
      </c>
    </row>
    <row r="22" spans="1:13" x14ac:dyDescent="0.3">
      <c r="A22" s="333">
        <v>19</v>
      </c>
      <c r="B22" s="333" t="s">
        <v>631</v>
      </c>
      <c r="C22" s="333" t="s">
        <v>651</v>
      </c>
      <c r="D22" s="333" t="s">
        <v>660</v>
      </c>
      <c r="E22" s="153" t="s">
        <v>661</v>
      </c>
      <c r="F22" s="333" t="s">
        <v>629</v>
      </c>
      <c r="G22" s="107" t="s">
        <v>279</v>
      </c>
      <c r="H22">
        <f t="shared" si="0"/>
        <v>1</v>
      </c>
      <c r="I22">
        <f t="shared" si="5"/>
        <v>1</v>
      </c>
      <c r="J22">
        <f t="shared" si="1"/>
        <v>1</v>
      </c>
      <c r="K22" t="str">
        <f t="shared" si="2"/>
        <v>RTR norms</v>
      </c>
      <c r="L22" t="str">
        <f t="shared" si="3"/>
        <v>RTR Norms not met</v>
      </c>
      <c r="M22" t="str">
        <f t="shared" si="4"/>
        <v>L3</v>
      </c>
    </row>
    <row r="23" spans="1:13" x14ac:dyDescent="0.3">
      <c r="A23" s="333">
        <v>20</v>
      </c>
      <c r="B23" s="333" t="s">
        <v>619</v>
      </c>
      <c r="C23" s="333" t="s">
        <v>662</v>
      </c>
      <c r="D23" s="333" t="s">
        <v>663</v>
      </c>
      <c r="E23" s="153" t="s">
        <v>664</v>
      </c>
      <c r="F23" s="333" t="s">
        <v>629</v>
      </c>
      <c r="G23" s="107"/>
      <c r="H23">
        <f t="shared" si="0"/>
        <v>0</v>
      </c>
      <c r="I23">
        <f t="shared" si="5"/>
        <v>1</v>
      </c>
      <c r="J23">
        <f t="shared" si="1"/>
        <v>0</v>
      </c>
      <c r="K23" t="str">
        <f t="shared" si="2"/>
        <v>Banking Turnover Ratio</v>
      </c>
      <c r="L23" t="str">
        <f t="shared" si="3"/>
        <v>Banking turnover ratio norms not met</v>
      </c>
      <c r="M23" t="str">
        <f t="shared" si="4"/>
        <v>L3</v>
      </c>
    </row>
    <row r="24" spans="1:13" x14ac:dyDescent="0.3">
      <c r="A24" s="333">
        <v>21</v>
      </c>
      <c r="B24" s="333" t="s">
        <v>631</v>
      </c>
      <c r="C24" s="333" t="s">
        <v>662</v>
      </c>
      <c r="D24" s="333" t="s">
        <v>665</v>
      </c>
      <c r="E24" s="153" t="s">
        <v>666</v>
      </c>
      <c r="F24" s="333" t="s">
        <v>629</v>
      </c>
      <c r="G24" s="107" t="s">
        <v>279</v>
      </c>
      <c r="H24">
        <f t="shared" si="0"/>
        <v>1</v>
      </c>
      <c r="I24">
        <f t="shared" si="5"/>
        <v>2</v>
      </c>
      <c r="J24">
        <f t="shared" si="1"/>
        <v>2</v>
      </c>
      <c r="K24" t="str">
        <f t="shared" si="2"/>
        <v>Banking norms</v>
      </c>
      <c r="L24" t="str">
        <f t="shared" si="3"/>
        <v>Banking norms not met</v>
      </c>
      <c r="M24" t="str">
        <f t="shared" si="4"/>
        <v>L3</v>
      </c>
    </row>
    <row r="25" spans="1:13" x14ac:dyDescent="0.3">
      <c r="A25" s="333">
        <v>22</v>
      </c>
      <c r="B25" s="333" t="s">
        <v>619</v>
      </c>
      <c r="C25" s="333" t="s">
        <v>662</v>
      </c>
      <c r="D25" s="333" t="s">
        <v>667</v>
      </c>
      <c r="E25" s="153" t="s">
        <v>668</v>
      </c>
      <c r="F25" s="333" t="s">
        <v>629</v>
      </c>
      <c r="G25" s="107"/>
      <c r="H25">
        <f t="shared" si="0"/>
        <v>0</v>
      </c>
      <c r="I25">
        <f t="shared" si="5"/>
        <v>2</v>
      </c>
      <c r="J25">
        <f t="shared" si="1"/>
        <v>0</v>
      </c>
      <c r="K25" t="str">
        <f t="shared" si="2"/>
        <v>ABB:EMI</v>
      </c>
      <c r="L25" t="str">
        <f t="shared" si="3"/>
        <v>ABB:EMI up to 1 times</v>
      </c>
      <c r="M25" t="str">
        <f t="shared" si="4"/>
        <v>L3</v>
      </c>
    </row>
    <row r="26" spans="1:13" ht="25.5" customHeight="1" x14ac:dyDescent="0.3">
      <c r="A26" s="333">
        <v>23</v>
      </c>
      <c r="B26" s="333" t="s">
        <v>631</v>
      </c>
      <c r="C26" s="333" t="s">
        <v>669</v>
      </c>
      <c r="D26" s="333" t="s">
        <v>670</v>
      </c>
      <c r="E26" s="153" t="s">
        <v>671</v>
      </c>
      <c r="F26" s="333" t="s">
        <v>623</v>
      </c>
      <c r="G26" s="107"/>
      <c r="H26">
        <f t="shared" si="0"/>
        <v>0</v>
      </c>
      <c r="I26">
        <f t="shared" si="5"/>
        <v>2</v>
      </c>
      <c r="J26">
        <f t="shared" si="1"/>
        <v>0</v>
      </c>
      <c r="K26" t="str">
        <f t="shared" si="2"/>
        <v>Documentation</v>
      </c>
      <c r="L26" t="str">
        <f t="shared" si="3"/>
        <v>Documentation norms not met</v>
      </c>
      <c r="M26" t="str">
        <f t="shared" si="4"/>
        <v>L2</v>
      </c>
    </row>
    <row r="27" spans="1:13" ht="25.5" customHeight="1" x14ac:dyDescent="0.3">
      <c r="A27" s="333">
        <v>24</v>
      </c>
      <c r="B27" s="333" t="s">
        <v>619</v>
      </c>
      <c r="C27" s="333" t="s">
        <v>669</v>
      </c>
      <c r="D27" s="333" t="s">
        <v>112</v>
      </c>
      <c r="E27" s="153" t="s">
        <v>672</v>
      </c>
      <c r="F27" s="333" t="s">
        <v>623</v>
      </c>
      <c r="G27" s="107"/>
      <c r="H27">
        <f t="shared" si="0"/>
        <v>0</v>
      </c>
      <c r="I27">
        <f t="shared" si="5"/>
        <v>2</v>
      </c>
      <c r="J27">
        <f t="shared" si="1"/>
        <v>0</v>
      </c>
      <c r="K27" t="str">
        <f t="shared" si="2"/>
        <v>FOIR</v>
      </c>
      <c r="L27" t="str">
        <f t="shared" si="3"/>
        <v>up to 5% higher than policy norms</v>
      </c>
      <c r="M27" t="str">
        <f t="shared" si="4"/>
        <v>L2</v>
      </c>
    </row>
    <row r="28" spans="1:13" ht="25.5" customHeight="1" x14ac:dyDescent="0.3">
      <c r="A28" s="333">
        <v>25</v>
      </c>
      <c r="B28" s="333" t="s">
        <v>619</v>
      </c>
      <c r="C28" s="333" t="s">
        <v>669</v>
      </c>
      <c r="D28" s="333" t="s">
        <v>112</v>
      </c>
      <c r="E28" s="153" t="s">
        <v>673</v>
      </c>
      <c r="F28" s="333" t="s">
        <v>626</v>
      </c>
      <c r="G28" s="107"/>
      <c r="H28">
        <f t="shared" si="0"/>
        <v>0</v>
      </c>
      <c r="I28">
        <f t="shared" si="5"/>
        <v>2</v>
      </c>
      <c r="J28">
        <f t="shared" si="1"/>
        <v>0</v>
      </c>
      <c r="K28" t="str">
        <f t="shared" si="2"/>
        <v>FOIR</v>
      </c>
      <c r="L28" t="str">
        <f t="shared" si="3"/>
        <v>&gt;5% up to 10% higher than policy norm</v>
      </c>
      <c r="M28" t="str">
        <f t="shared" si="4"/>
        <v>L1</v>
      </c>
    </row>
    <row r="29" spans="1:13" ht="25.5" customHeight="1" x14ac:dyDescent="0.3">
      <c r="A29" s="333">
        <v>26</v>
      </c>
      <c r="B29" s="333" t="s">
        <v>624</v>
      </c>
      <c r="C29" s="333" t="s">
        <v>669</v>
      </c>
      <c r="D29" s="333" t="s">
        <v>112</v>
      </c>
      <c r="E29" s="153" t="s">
        <v>674</v>
      </c>
      <c r="F29" s="333" t="s">
        <v>623</v>
      </c>
      <c r="G29" s="107"/>
      <c r="H29">
        <f t="shared" si="0"/>
        <v>0</v>
      </c>
      <c r="I29">
        <f t="shared" si="5"/>
        <v>2</v>
      </c>
      <c r="J29">
        <f t="shared" si="1"/>
        <v>0</v>
      </c>
      <c r="K29" t="str">
        <f t="shared" si="2"/>
        <v>FOIR</v>
      </c>
      <c r="L29" t="str">
        <f t="shared" si="3"/>
        <v>up to 10% higher than policy norms</v>
      </c>
      <c r="M29" t="str">
        <f t="shared" si="4"/>
        <v>L2</v>
      </c>
    </row>
    <row r="30" spans="1:13" ht="38.25" customHeight="1" x14ac:dyDescent="0.3">
      <c r="A30" s="333">
        <v>27</v>
      </c>
      <c r="B30" s="333" t="s">
        <v>619</v>
      </c>
      <c r="C30" s="333" t="s">
        <v>675</v>
      </c>
      <c r="D30" s="333" t="s">
        <v>676</v>
      </c>
      <c r="E30" s="153" t="s">
        <v>677</v>
      </c>
      <c r="F30" s="333" t="s">
        <v>626</v>
      </c>
      <c r="G30" s="107"/>
      <c r="H30">
        <f t="shared" si="0"/>
        <v>0</v>
      </c>
      <c r="I30">
        <f t="shared" si="5"/>
        <v>2</v>
      </c>
      <c r="J30">
        <f t="shared" si="1"/>
        <v>0</v>
      </c>
      <c r="K30" t="str">
        <f t="shared" si="2"/>
        <v>Income Norms</v>
      </c>
      <c r="L30" t="str">
        <f t="shared" si="3"/>
        <v>Loan eligibility to be computed basis latest year (where PAT and Depreciation &gt;20% of previous year)</v>
      </c>
      <c r="M30" t="str">
        <f t="shared" si="4"/>
        <v>L1</v>
      </c>
    </row>
    <row r="31" spans="1:13" ht="38.25" customHeight="1" x14ac:dyDescent="0.3">
      <c r="A31" s="333">
        <v>28</v>
      </c>
      <c r="B31" s="333" t="s">
        <v>624</v>
      </c>
      <c r="C31" s="333" t="s">
        <v>675</v>
      </c>
      <c r="D31" s="333" t="s">
        <v>676</v>
      </c>
      <c r="E31" s="153" t="s">
        <v>677</v>
      </c>
      <c r="F31" s="333" t="s">
        <v>623</v>
      </c>
      <c r="G31" s="107"/>
      <c r="H31">
        <f t="shared" si="0"/>
        <v>0</v>
      </c>
      <c r="I31">
        <f t="shared" si="5"/>
        <v>2</v>
      </c>
      <c r="J31">
        <f t="shared" si="1"/>
        <v>0</v>
      </c>
      <c r="K31" t="str">
        <f t="shared" si="2"/>
        <v>Income Norms</v>
      </c>
      <c r="L31" t="str">
        <f t="shared" si="3"/>
        <v>Loan eligibility to be computed basis latest year (where PAT and Depreciation &gt;20% of previous year)</v>
      </c>
      <c r="M31" t="str">
        <f t="shared" si="4"/>
        <v>L2</v>
      </c>
    </row>
    <row r="32" spans="1:13" x14ac:dyDescent="0.3">
      <c r="A32" s="333">
        <v>29</v>
      </c>
      <c r="B32" s="333" t="s">
        <v>619</v>
      </c>
      <c r="C32" s="333" t="s">
        <v>40</v>
      </c>
      <c r="D32" s="333" t="s">
        <v>667</v>
      </c>
      <c r="E32" s="153" t="s">
        <v>678</v>
      </c>
      <c r="F32" s="333" t="s">
        <v>626</v>
      </c>
      <c r="G32" s="107"/>
      <c r="H32">
        <f t="shared" si="0"/>
        <v>0</v>
      </c>
      <c r="I32">
        <f t="shared" si="5"/>
        <v>2</v>
      </c>
      <c r="J32">
        <f t="shared" si="1"/>
        <v>0</v>
      </c>
      <c r="K32" t="str">
        <f t="shared" si="2"/>
        <v>ABB:EMI</v>
      </c>
      <c r="L32" t="str">
        <f t="shared" si="3"/>
        <v>ABB:EMI upto 1.75 times</v>
      </c>
      <c r="M32" t="str">
        <f t="shared" si="4"/>
        <v>L1</v>
      </c>
    </row>
    <row r="33" spans="1:13" x14ac:dyDescent="0.3">
      <c r="A33" s="333">
        <v>30</v>
      </c>
      <c r="B33" s="333" t="s">
        <v>619</v>
      </c>
      <c r="C33" s="333" t="s">
        <v>40</v>
      </c>
      <c r="D33" s="333" t="s">
        <v>665</v>
      </c>
      <c r="E33" s="153" t="s">
        <v>666</v>
      </c>
      <c r="F33" s="333" t="s">
        <v>623</v>
      </c>
      <c r="G33" s="107"/>
      <c r="H33">
        <f t="shared" si="0"/>
        <v>0</v>
      </c>
      <c r="I33">
        <f t="shared" si="5"/>
        <v>2</v>
      </c>
      <c r="J33">
        <f t="shared" si="1"/>
        <v>0</v>
      </c>
      <c r="K33" t="str">
        <f t="shared" si="2"/>
        <v>Banking norms</v>
      </c>
      <c r="L33" t="str">
        <f t="shared" si="3"/>
        <v>Banking norms not met</v>
      </c>
      <c r="M33" t="str">
        <f t="shared" si="4"/>
        <v>L2</v>
      </c>
    </row>
    <row r="34" spans="1:13" x14ac:dyDescent="0.3">
      <c r="A34" s="333">
        <v>31</v>
      </c>
      <c r="B34" s="333" t="s">
        <v>619</v>
      </c>
      <c r="C34" s="333" t="s">
        <v>47</v>
      </c>
      <c r="D34" s="333" t="s">
        <v>670</v>
      </c>
      <c r="E34" s="153" t="s">
        <v>671</v>
      </c>
      <c r="F34" s="333" t="s">
        <v>626</v>
      </c>
      <c r="G34" s="107"/>
      <c r="H34">
        <f t="shared" si="0"/>
        <v>0</v>
      </c>
      <c r="I34">
        <f t="shared" si="5"/>
        <v>2</v>
      </c>
      <c r="J34">
        <f t="shared" si="1"/>
        <v>0</v>
      </c>
      <c r="K34" t="str">
        <f t="shared" si="2"/>
        <v>Documentation</v>
      </c>
      <c r="L34" t="str">
        <f t="shared" si="3"/>
        <v>Documentation norms not met</v>
      </c>
      <c r="M34" t="str">
        <f t="shared" si="4"/>
        <v>L1</v>
      </c>
    </row>
    <row r="35" spans="1:13" x14ac:dyDescent="0.3">
      <c r="A35" s="333">
        <v>32</v>
      </c>
      <c r="B35" s="333" t="s">
        <v>619</v>
      </c>
      <c r="C35" s="333" t="s">
        <v>47</v>
      </c>
      <c r="D35" s="333" t="s">
        <v>679</v>
      </c>
      <c r="E35" s="153" t="s">
        <v>680</v>
      </c>
      <c r="F35" s="333" t="s">
        <v>623</v>
      </c>
      <c r="G35" s="107"/>
      <c r="H35">
        <f t="shared" si="0"/>
        <v>0</v>
      </c>
      <c r="I35">
        <f t="shared" si="5"/>
        <v>2</v>
      </c>
      <c r="J35">
        <f t="shared" si="1"/>
        <v>0</v>
      </c>
      <c r="K35" t="str">
        <f t="shared" si="2"/>
        <v>Banking Norms</v>
      </c>
      <c r="L35" t="str">
        <f t="shared" si="3"/>
        <v>Banking Norms Not met</v>
      </c>
      <c r="M35" t="str">
        <f t="shared" si="4"/>
        <v>L2</v>
      </c>
    </row>
    <row r="36" spans="1:13" x14ac:dyDescent="0.3">
      <c r="A36" s="333">
        <v>33</v>
      </c>
      <c r="B36" s="333" t="s">
        <v>619</v>
      </c>
      <c r="C36" s="333" t="s">
        <v>47</v>
      </c>
      <c r="D36" s="333" t="s">
        <v>681</v>
      </c>
      <c r="E36" s="153" t="s">
        <v>672</v>
      </c>
      <c r="F36" s="333" t="s">
        <v>623</v>
      </c>
      <c r="G36" s="107"/>
      <c r="H36">
        <f t="shared" si="0"/>
        <v>0</v>
      </c>
      <c r="I36">
        <f t="shared" si="5"/>
        <v>2</v>
      </c>
      <c r="J36">
        <f t="shared" si="1"/>
        <v>0</v>
      </c>
      <c r="K36" t="str">
        <f t="shared" si="2"/>
        <v>FOIR Norms</v>
      </c>
      <c r="L36" t="str">
        <f t="shared" si="3"/>
        <v>up to 5% higher than policy norms</v>
      </c>
      <c r="M36" t="str">
        <f t="shared" si="4"/>
        <v>L2</v>
      </c>
    </row>
    <row r="37" spans="1:13" x14ac:dyDescent="0.3">
      <c r="A37" s="333">
        <v>34</v>
      </c>
      <c r="B37" s="333" t="s">
        <v>619</v>
      </c>
      <c r="C37" s="333" t="s">
        <v>47</v>
      </c>
      <c r="D37" s="333" t="s">
        <v>681</v>
      </c>
      <c r="E37" s="153" t="s">
        <v>673</v>
      </c>
      <c r="F37" s="333" t="s">
        <v>626</v>
      </c>
      <c r="G37" s="107"/>
      <c r="H37">
        <f t="shared" si="0"/>
        <v>0</v>
      </c>
      <c r="I37">
        <f t="shared" si="5"/>
        <v>2</v>
      </c>
      <c r="J37">
        <f t="shared" si="1"/>
        <v>0</v>
      </c>
      <c r="K37" t="str">
        <f t="shared" si="2"/>
        <v>FOIR Norms</v>
      </c>
      <c r="L37" t="str">
        <f t="shared" si="3"/>
        <v>&gt;5% up to 10% higher than policy norm</v>
      </c>
      <c r="M37" t="str">
        <f t="shared" si="4"/>
        <v>L1</v>
      </c>
    </row>
    <row r="38" spans="1:13" ht="25.5" customHeight="1" x14ac:dyDescent="0.3">
      <c r="A38" s="333">
        <v>35</v>
      </c>
      <c r="B38" s="333" t="s">
        <v>619</v>
      </c>
      <c r="C38" s="333" t="s">
        <v>682</v>
      </c>
      <c r="D38" s="333" t="s">
        <v>632</v>
      </c>
      <c r="E38" s="153" t="s">
        <v>683</v>
      </c>
      <c r="F38" s="333" t="s">
        <v>623</v>
      </c>
      <c r="G38" s="107"/>
      <c r="H38">
        <f t="shared" si="0"/>
        <v>0</v>
      </c>
      <c r="I38">
        <f t="shared" si="5"/>
        <v>2</v>
      </c>
      <c r="J38">
        <f t="shared" si="1"/>
        <v>0</v>
      </c>
      <c r="K38" t="str">
        <f t="shared" si="2"/>
        <v>Work Experience Norms</v>
      </c>
      <c r="L38" t="str">
        <f t="shared" si="3"/>
        <v>Work experience norms not met (less than 1 years non deviatable)</v>
      </c>
      <c r="M38" t="str">
        <f t="shared" si="4"/>
        <v>L2</v>
      </c>
    </row>
    <row r="39" spans="1:13" ht="25.5" customHeight="1" x14ac:dyDescent="0.3">
      <c r="A39" s="333">
        <v>36</v>
      </c>
      <c r="B39" s="333" t="s">
        <v>619</v>
      </c>
      <c r="C39" s="333" t="s">
        <v>682</v>
      </c>
      <c r="D39" s="333" t="s">
        <v>667</v>
      </c>
      <c r="E39" s="153" t="s">
        <v>684</v>
      </c>
      <c r="F39" s="333" t="s">
        <v>623</v>
      </c>
      <c r="G39" s="107"/>
      <c r="H39">
        <f t="shared" si="0"/>
        <v>0</v>
      </c>
      <c r="I39">
        <f t="shared" si="5"/>
        <v>2</v>
      </c>
      <c r="J39">
        <f t="shared" si="1"/>
        <v>0</v>
      </c>
      <c r="K39" t="str">
        <f t="shared" si="2"/>
        <v>ABB:EMI</v>
      </c>
      <c r="L39" t="str">
        <f t="shared" si="3"/>
        <v>ABB:EMI upto 0.75 times</v>
      </c>
      <c r="M39" t="str">
        <f t="shared" si="4"/>
        <v>L2</v>
      </c>
    </row>
    <row r="40" spans="1:13" ht="25.5" customHeight="1" x14ac:dyDescent="0.3">
      <c r="A40" s="333">
        <v>37</v>
      </c>
      <c r="B40" s="333" t="s">
        <v>619</v>
      </c>
      <c r="C40" s="333" t="s">
        <v>682</v>
      </c>
      <c r="D40" s="333" t="s">
        <v>685</v>
      </c>
      <c r="E40" s="153" t="s">
        <v>686</v>
      </c>
      <c r="F40" s="333" t="s">
        <v>623</v>
      </c>
      <c r="G40" s="107"/>
      <c r="H40">
        <f t="shared" si="0"/>
        <v>0</v>
      </c>
      <c r="I40">
        <f t="shared" si="5"/>
        <v>2</v>
      </c>
      <c r="J40">
        <f t="shared" si="1"/>
        <v>0</v>
      </c>
      <c r="K40" t="str">
        <f t="shared" si="2"/>
        <v>Multiplier</v>
      </c>
      <c r="L40" t="str">
        <f t="shared" si="3"/>
        <v>up to 0.5 times higher than norms (not to exceed 3)</v>
      </c>
      <c r="M40" t="str">
        <f t="shared" si="4"/>
        <v>L2</v>
      </c>
    </row>
    <row r="41" spans="1:13" ht="25.5" customHeight="1" x14ac:dyDescent="0.3">
      <c r="A41" s="333">
        <v>38</v>
      </c>
      <c r="B41" s="333" t="s">
        <v>619</v>
      </c>
      <c r="C41" s="333" t="s">
        <v>682</v>
      </c>
      <c r="D41" s="333" t="s">
        <v>681</v>
      </c>
      <c r="E41" s="153" t="s">
        <v>672</v>
      </c>
      <c r="F41" s="333" t="s">
        <v>626</v>
      </c>
      <c r="G41" s="107"/>
      <c r="H41">
        <f t="shared" si="0"/>
        <v>0</v>
      </c>
      <c r="I41">
        <f t="shared" si="5"/>
        <v>2</v>
      </c>
      <c r="J41">
        <f t="shared" si="1"/>
        <v>0</v>
      </c>
      <c r="K41" t="str">
        <f t="shared" si="2"/>
        <v>FOIR Norms</v>
      </c>
      <c r="L41" t="str">
        <f t="shared" si="3"/>
        <v>up to 5% higher than policy norms</v>
      </c>
      <c r="M41" t="str">
        <f t="shared" si="4"/>
        <v>L1</v>
      </c>
    </row>
    <row r="42" spans="1:13" ht="25.5" customHeight="1" x14ac:dyDescent="0.3">
      <c r="A42" s="333">
        <v>39</v>
      </c>
      <c r="B42" s="333" t="s">
        <v>619</v>
      </c>
      <c r="C42" s="333" t="s">
        <v>687</v>
      </c>
      <c r="D42" s="333" t="s">
        <v>688</v>
      </c>
      <c r="E42" s="153" t="s">
        <v>689</v>
      </c>
      <c r="F42" s="333" t="s">
        <v>629</v>
      </c>
      <c r="G42" s="107"/>
      <c r="H42">
        <f t="shared" si="0"/>
        <v>0</v>
      </c>
      <c r="I42">
        <f t="shared" si="5"/>
        <v>2</v>
      </c>
      <c r="J42">
        <f t="shared" si="1"/>
        <v>0</v>
      </c>
      <c r="K42" t="str">
        <f t="shared" si="2"/>
        <v>Other Evaluation Parameters</v>
      </c>
      <c r="L42" t="str">
        <f t="shared" si="3"/>
        <v>Evaluation parameters not met</v>
      </c>
      <c r="M42" t="str">
        <f t="shared" si="4"/>
        <v>L3</v>
      </c>
    </row>
    <row r="43" spans="1:13" x14ac:dyDescent="0.3">
      <c r="A43" s="333">
        <v>40</v>
      </c>
      <c r="B43" s="333" t="s">
        <v>619</v>
      </c>
      <c r="C43" s="333" t="s">
        <v>690</v>
      </c>
      <c r="D43" s="333" t="s">
        <v>691</v>
      </c>
      <c r="E43" s="153" t="s">
        <v>692</v>
      </c>
      <c r="F43" s="333" t="s">
        <v>626</v>
      </c>
      <c r="G43" s="107"/>
      <c r="H43">
        <f t="shared" si="0"/>
        <v>0</v>
      </c>
      <c r="I43">
        <f t="shared" si="5"/>
        <v>2</v>
      </c>
      <c r="J43">
        <f t="shared" si="1"/>
        <v>0</v>
      </c>
      <c r="K43" t="str">
        <f t="shared" si="2"/>
        <v>Program Norms</v>
      </c>
      <c r="L43" t="str">
        <f t="shared" si="3"/>
        <v>RTR program norms not met</v>
      </c>
      <c r="M43" t="str">
        <f t="shared" si="4"/>
        <v>L1</v>
      </c>
    </row>
    <row r="44" spans="1:13" x14ac:dyDescent="0.3">
      <c r="A44" s="333">
        <v>41</v>
      </c>
      <c r="B44" s="333" t="s">
        <v>631</v>
      </c>
      <c r="C44" s="333" t="s">
        <v>693</v>
      </c>
      <c r="D44" s="333" t="s">
        <v>693</v>
      </c>
      <c r="E44" s="153" t="s">
        <v>694</v>
      </c>
      <c r="F44" s="333" t="s">
        <v>626</v>
      </c>
      <c r="G44" s="107" t="s">
        <v>312</v>
      </c>
      <c r="H44">
        <f t="shared" si="0"/>
        <v>0</v>
      </c>
      <c r="I44">
        <f t="shared" si="5"/>
        <v>2</v>
      </c>
      <c r="J44">
        <f t="shared" si="1"/>
        <v>0</v>
      </c>
      <c r="K44" t="str">
        <f t="shared" si="2"/>
        <v>Out of Policy</v>
      </c>
      <c r="L44" t="str">
        <f t="shared" si="3"/>
        <v>Out of Policy Deviation</v>
      </c>
      <c r="M44" t="str">
        <f t="shared" si="4"/>
        <v>L1</v>
      </c>
    </row>
    <row r="45" spans="1:13" ht="25.5" customHeight="1" x14ac:dyDescent="0.3">
      <c r="A45" s="333">
        <v>42</v>
      </c>
      <c r="B45" s="333" t="s">
        <v>631</v>
      </c>
      <c r="C45" s="333" t="s">
        <v>695</v>
      </c>
      <c r="D45" s="333" t="s">
        <v>696</v>
      </c>
      <c r="E45" s="153" t="s">
        <v>697</v>
      </c>
      <c r="F45" s="333" t="s">
        <v>626</v>
      </c>
      <c r="G45" s="107"/>
      <c r="H45">
        <f t="shared" si="0"/>
        <v>0</v>
      </c>
      <c r="I45">
        <f t="shared" si="5"/>
        <v>2</v>
      </c>
      <c r="J45">
        <f t="shared" si="1"/>
        <v>0</v>
      </c>
      <c r="K45" s="335" t="str">
        <f t="shared" si="2"/>
        <v>Negative &amp; Caution 
Profile</v>
      </c>
      <c r="L45" t="str">
        <f t="shared" si="3"/>
        <v>PEP under Cohort 3 &amp; 4 or Caution Profile</v>
      </c>
      <c r="M45" t="str">
        <f t="shared" si="4"/>
        <v>L1</v>
      </c>
    </row>
    <row r="46" spans="1:13" ht="25.5" customHeight="1" x14ac:dyDescent="0.3">
      <c r="A46" s="333">
        <v>43</v>
      </c>
      <c r="B46" s="333" t="s">
        <v>631</v>
      </c>
      <c r="C46" s="333" t="s">
        <v>698</v>
      </c>
      <c r="D46" s="333" t="s">
        <v>698</v>
      </c>
      <c r="E46" s="153" t="s">
        <v>698</v>
      </c>
      <c r="F46" s="333" t="s">
        <v>699</v>
      </c>
      <c r="G46" s="107"/>
      <c r="H46">
        <f t="shared" si="0"/>
        <v>0</v>
      </c>
      <c r="I46">
        <f t="shared" si="5"/>
        <v>2</v>
      </c>
      <c r="J46">
        <f t="shared" si="1"/>
        <v>0</v>
      </c>
      <c r="K46" t="str">
        <f t="shared" si="2"/>
        <v>Deviation From Exclusion List</v>
      </c>
      <c r="L46" t="str">
        <f t="shared" si="3"/>
        <v>Deviation From Exclusion List</v>
      </c>
      <c r="M46" t="str">
        <f t="shared" si="4"/>
        <v>Credit Committee -Exclusion List</v>
      </c>
    </row>
    <row r="47" spans="1:13" x14ac:dyDescent="0.3">
      <c r="D47" s="337"/>
      <c r="E47" s="338"/>
      <c r="F47" s="337"/>
      <c r="G47" s="337"/>
    </row>
    <row r="48" spans="1:13" x14ac:dyDescent="0.3">
      <c r="A48" s="331" t="s">
        <v>155</v>
      </c>
      <c r="B48" s="395" t="s">
        <v>700</v>
      </c>
      <c r="C48" s="395"/>
      <c r="D48" s="395"/>
      <c r="E48" s="395"/>
      <c r="F48" s="331" t="s">
        <v>617</v>
      </c>
      <c r="G48" s="331" t="s">
        <v>587</v>
      </c>
    </row>
    <row r="49" spans="1:7" x14ac:dyDescent="0.3">
      <c r="A49" s="333">
        <v>1</v>
      </c>
      <c r="B49" s="432" t="s">
        <v>701</v>
      </c>
      <c r="C49" s="432"/>
      <c r="D49" s="432"/>
      <c r="E49" s="432"/>
      <c r="F49" s="113" t="s">
        <v>702</v>
      </c>
      <c r="G49" s="107"/>
    </row>
    <row r="50" spans="1:7" ht="15" customHeight="1" x14ac:dyDescent="0.3">
      <c r="A50" s="333">
        <v>2</v>
      </c>
      <c r="B50" s="433" t="s">
        <v>703</v>
      </c>
      <c r="C50" s="433"/>
      <c r="D50" s="433"/>
      <c r="E50" s="433"/>
      <c r="F50" s="113" t="s">
        <v>702</v>
      </c>
      <c r="G50" s="107"/>
    </row>
    <row r="51" spans="1:7" ht="15" customHeight="1" x14ac:dyDescent="0.3">
      <c r="A51" s="333">
        <v>3</v>
      </c>
      <c r="B51" s="434" t="s">
        <v>704</v>
      </c>
      <c r="C51" s="434"/>
      <c r="D51" s="434"/>
      <c r="E51" s="434"/>
      <c r="F51" s="113" t="s">
        <v>702</v>
      </c>
      <c r="G51" s="107"/>
    </row>
    <row r="52" spans="1:7" ht="15" customHeight="1" x14ac:dyDescent="0.3">
      <c r="A52" s="333">
        <v>4</v>
      </c>
      <c r="B52" s="433" t="s">
        <v>705</v>
      </c>
      <c r="C52" s="433"/>
      <c r="D52" s="433"/>
      <c r="E52" s="433"/>
      <c r="F52" s="113" t="s">
        <v>626</v>
      </c>
      <c r="G52" s="107"/>
    </row>
    <row r="53" spans="1:7" ht="15" customHeight="1" x14ac:dyDescent="0.3">
      <c r="A53" s="333">
        <v>5</v>
      </c>
      <c r="B53" s="433" t="s">
        <v>706</v>
      </c>
      <c r="C53" s="433"/>
      <c r="D53" s="433"/>
      <c r="E53" s="433"/>
      <c r="F53" s="113" t="s">
        <v>707</v>
      </c>
      <c r="G53" s="107"/>
    </row>
    <row r="54" spans="1:7" ht="72" customHeight="1" x14ac:dyDescent="0.3">
      <c r="A54" s="333">
        <v>6</v>
      </c>
      <c r="B54" s="433" t="s">
        <v>708</v>
      </c>
      <c r="C54" s="433"/>
      <c r="D54" s="433"/>
      <c r="E54" s="433"/>
      <c r="F54" s="113" t="s">
        <v>707</v>
      </c>
      <c r="G54" s="107"/>
    </row>
    <row r="55" spans="1:7" ht="15" customHeight="1" x14ac:dyDescent="0.3">
      <c r="A55" s="333">
        <v>7</v>
      </c>
      <c r="B55" s="433" t="s">
        <v>709</v>
      </c>
      <c r="C55" s="433"/>
      <c r="D55" s="433"/>
      <c r="E55" s="433"/>
      <c r="F55" s="113" t="s">
        <v>707</v>
      </c>
      <c r="G55" s="107"/>
    </row>
    <row r="56" spans="1:7" ht="15" customHeight="1" x14ac:dyDescent="0.3">
      <c r="A56" s="333">
        <v>8</v>
      </c>
      <c r="B56" s="433" t="s">
        <v>710</v>
      </c>
      <c r="C56" s="433"/>
      <c r="D56" s="433"/>
      <c r="E56" s="433"/>
      <c r="F56" s="113" t="s">
        <v>629</v>
      </c>
      <c r="G56" s="107"/>
    </row>
    <row r="57" spans="1:7" ht="15" customHeight="1" x14ac:dyDescent="0.3">
      <c r="A57" s="333">
        <v>9</v>
      </c>
      <c r="B57" s="433" t="s">
        <v>711</v>
      </c>
      <c r="C57" s="433"/>
      <c r="D57" s="433"/>
      <c r="E57" s="433"/>
      <c r="F57" s="113" t="s">
        <v>623</v>
      </c>
      <c r="G57" s="107"/>
    </row>
    <row r="58" spans="1:7" ht="15" customHeight="1" x14ac:dyDescent="0.3">
      <c r="A58" s="333">
        <v>10</v>
      </c>
      <c r="B58" s="433" t="s">
        <v>712</v>
      </c>
      <c r="C58" s="433"/>
      <c r="D58" s="433"/>
      <c r="E58" s="433"/>
      <c r="F58" s="113" t="s">
        <v>626</v>
      </c>
      <c r="G58" s="107"/>
    </row>
    <row r="59" spans="1:7" x14ac:dyDescent="0.3">
      <c r="A59" s="113"/>
      <c r="B59" s="113"/>
      <c r="C59" s="113"/>
      <c r="D59" s="113"/>
      <c r="E59" s="113"/>
      <c r="F59" s="113"/>
      <c r="G59" s="113"/>
    </row>
    <row r="60" spans="1:7" x14ac:dyDescent="0.3">
      <c r="A60" s="395" t="s">
        <v>713</v>
      </c>
      <c r="B60" s="395"/>
      <c r="C60" s="395"/>
      <c r="D60" s="395"/>
      <c r="E60" s="395"/>
      <c r="F60" s="395"/>
      <c r="G60" s="395"/>
    </row>
    <row r="61" spans="1:7" ht="14.25" customHeight="1" x14ac:dyDescent="0.3">
      <c r="A61" s="435" t="s">
        <v>714</v>
      </c>
      <c r="B61" s="435"/>
      <c r="C61" s="435"/>
      <c r="D61" s="435"/>
      <c r="E61" s="435"/>
      <c r="F61" s="435"/>
      <c r="G61" s="435"/>
    </row>
    <row r="62" spans="1:7" ht="14.25" customHeight="1" x14ac:dyDescent="0.3">
      <c r="A62" s="435" t="s">
        <v>715</v>
      </c>
      <c r="B62" s="435"/>
      <c r="C62" s="435"/>
      <c r="D62" s="435"/>
      <c r="E62" s="435"/>
      <c r="F62" s="331" t="s">
        <v>617</v>
      </c>
      <c r="G62" s="331" t="s">
        <v>587</v>
      </c>
    </row>
    <row r="63" spans="1:7" ht="14.25" customHeight="1" x14ac:dyDescent="0.3">
      <c r="A63" s="170">
        <v>1</v>
      </c>
      <c r="B63" s="433" t="s">
        <v>716</v>
      </c>
      <c r="C63" s="433"/>
      <c r="D63" s="433"/>
      <c r="E63" s="433"/>
      <c r="F63" s="113" t="s">
        <v>629</v>
      </c>
      <c r="G63" s="107"/>
    </row>
    <row r="64" spans="1:7" ht="14.25" customHeight="1" x14ac:dyDescent="0.3">
      <c r="A64" s="170">
        <v>2</v>
      </c>
      <c r="B64" s="433" t="s">
        <v>717</v>
      </c>
      <c r="C64" s="433"/>
      <c r="D64" s="433"/>
      <c r="E64" s="433"/>
      <c r="F64" s="113" t="s">
        <v>629</v>
      </c>
      <c r="G64" s="107"/>
    </row>
    <row r="65" spans="1:7" ht="14.25" customHeight="1" x14ac:dyDescent="0.3">
      <c r="A65" s="170">
        <v>3</v>
      </c>
      <c r="B65" s="433" t="s">
        <v>718</v>
      </c>
      <c r="C65" s="433"/>
      <c r="D65" s="433"/>
      <c r="E65" s="433"/>
      <c r="F65" s="113" t="s">
        <v>629</v>
      </c>
      <c r="G65" s="107"/>
    </row>
    <row r="66" spans="1:7" ht="27.75" customHeight="1" x14ac:dyDescent="0.3">
      <c r="A66" s="170">
        <v>4</v>
      </c>
      <c r="B66" s="433" t="s">
        <v>719</v>
      </c>
      <c r="C66" s="433"/>
      <c r="D66" s="433"/>
      <c r="E66" s="433"/>
      <c r="F66" s="113" t="s">
        <v>629</v>
      </c>
      <c r="G66" s="107"/>
    </row>
    <row r="67" spans="1:7" x14ac:dyDescent="0.3">
      <c r="A67" s="170">
        <v>5</v>
      </c>
      <c r="B67" s="432" t="s">
        <v>720</v>
      </c>
      <c r="C67" s="432"/>
      <c r="D67" s="432"/>
      <c r="E67" s="432"/>
      <c r="F67" s="113" t="s">
        <v>629</v>
      </c>
      <c r="G67" s="107"/>
    </row>
    <row r="68" spans="1:7" x14ac:dyDescent="0.3">
      <c r="A68" s="170">
        <v>6</v>
      </c>
      <c r="B68" s="432" t="s">
        <v>721</v>
      </c>
      <c r="C68" s="432"/>
      <c r="D68" s="432"/>
      <c r="E68" s="432"/>
      <c r="F68" s="113" t="s">
        <v>629</v>
      </c>
      <c r="G68" s="107"/>
    </row>
    <row r="69" spans="1:7" ht="14.25" customHeight="1" x14ac:dyDescent="0.3">
      <c r="A69" s="170">
        <v>7</v>
      </c>
      <c r="B69" s="433" t="s">
        <v>722</v>
      </c>
      <c r="C69" s="433"/>
      <c r="D69" s="433"/>
      <c r="E69" s="433"/>
      <c r="F69" s="113" t="s">
        <v>629</v>
      </c>
      <c r="G69" s="107"/>
    </row>
    <row r="70" spans="1:7" ht="15" customHeight="1" x14ac:dyDescent="0.3">
      <c r="A70" s="435" t="s">
        <v>723</v>
      </c>
      <c r="B70" s="435"/>
      <c r="C70" s="435"/>
      <c r="D70" s="435"/>
      <c r="E70" s="435"/>
      <c r="F70" s="435"/>
      <c r="G70" s="435"/>
    </row>
    <row r="71" spans="1:7" ht="14.25" customHeight="1" x14ac:dyDescent="0.3">
      <c r="A71" s="170">
        <v>8</v>
      </c>
      <c r="B71" s="433" t="s">
        <v>724</v>
      </c>
      <c r="C71" s="433"/>
      <c r="D71" s="433"/>
      <c r="E71" s="433"/>
      <c r="F71" s="113" t="s">
        <v>626</v>
      </c>
      <c r="G71" s="107"/>
    </row>
    <row r="72" spans="1:7" x14ac:dyDescent="0.3">
      <c r="A72" s="170">
        <v>9</v>
      </c>
      <c r="B72" s="432" t="s">
        <v>725</v>
      </c>
      <c r="C72" s="432"/>
      <c r="D72" s="432"/>
      <c r="E72" s="432"/>
      <c r="F72" s="339" t="s">
        <v>726</v>
      </c>
      <c r="G72" s="107"/>
    </row>
    <row r="73" spans="1:7" ht="14.25" customHeight="1" x14ac:dyDescent="0.3">
      <c r="A73" s="170">
        <v>10</v>
      </c>
      <c r="B73" s="433" t="s">
        <v>727</v>
      </c>
      <c r="C73" s="433"/>
      <c r="D73" s="433"/>
      <c r="E73" s="433"/>
      <c r="F73" s="113" t="s">
        <v>626</v>
      </c>
      <c r="G73" s="107"/>
    </row>
  </sheetData>
  <autoFilter ref="A3:G46" xr:uid="{00000000-0009-0000-0000-000015000000}"/>
  <mergeCells count="27">
    <mergeCell ref="B72:E72"/>
    <mergeCell ref="B73:E73"/>
    <mergeCell ref="B67:E67"/>
    <mergeCell ref="B68:E68"/>
    <mergeCell ref="B69:E69"/>
    <mergeCell ref="A70:G70"/>
    <mergeCell ref="B71:E71"/>
    <mergeCell ref="A62:E62"/>
    <mergeCell ref="B63:E63"/>
    <mergeCell ref="B64:E64"/>
    <mergeCell ref="B65:E65"/>
    <mergeCell ref="B66:E66"/>
    <mergeCell ref="B56:E56"/>
    <mergeCell ref="B57:E57"/>
    <mergeCell ref="B58:E58"/>
    <mergeCell ref="A60:G60"/>
    <mergeCell ref="A61:G61"/>
    <mergeCell ref="B51:E51"/>
    <mergeCell ref="B52:E52"/>
    <mergeCell ref="B53:E53"/>
    <mergeCell ref="B54:E54"/>
    <mergeCell ref="B55:E55"/>
    <mergeCell ref="A2:G2"/>
    <mergeCell ref="H3:J3"/>
    <mergeCell ref="B48:E48"/>
    <mergeCell ref="B49:E49"/>
    <mergeCell ref="B50:E50"/>
  </mergeCells>
  <dataValidations count="1">
    <dataValidation type="list" allowBlank="1" showInputMessage="1" showErrorMessage="1" sqref="G4:G47 G49:G58 G63:G69 G71:G73" xr:uid="{00000000-0002-0000-1500-000000000000}">
      <formula1>"Yes,No"</formula1>
      <formula2>0</formula2>
    </dataValidation>
  </dataValidations>
  <pageMargins left="0.25" right="0.25" top="0.25" bottom="0.25" header="0.511811023622047" footer="0.15"/>
  <pageSetup fitToHeight="2" orientation="portrait" horizontalDpi="300" verticalDpi="300"/>
  <headerFooter>
    <oddFooter>&amp;C&amp;F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4</vt:i4>
      </vt:variant>
    </vt:vector>
  </HeadingPairs>
  <TitlesOfParts>
    <vt:vector size="26" baseType="lpstr">
      <vt:lpstr>Product type</vt:lpstr>
      <vt:lpstr>Key loan summary </vt:lpstr>
      <vt:lpstr>Collateral Details</vt:lpstr>
      <vt:lpstr>GST</vt:lpstr>
      <vt:lpstr>RTR </vt:lpstr>
      <vt:lpstr>Banking</vt:lpstr>
      <vt:lpstr>Eligibility-Salaried</vt:lpstr>
      <vt:lpstr>Eligibility- Normal Income</vt:lpstr>
      <vt:lpstr>Eiligibility-RTR Sheet</vt:lpstr>
      <vt:lpstr>Eligibility -Assessment</vt:lpstr>
      <vt:lpstr>Eligibility - Banking Program</vt:lpstr>
      <vt:lpstr>Eligibility Computation</vt:lpstr>
      <vt:lpstr>Cashflow assessment</vt:lpstr>
      <vt:lpstr>Consolidated Fin</vt:lpstr>
      <vt:lpstr>Fin -1</vt:lpstr>
      <vt:lpstr>Fin -2</vt:lpstr>
      <vt:lpstr>Fin -3</vt:lpstr>
      <vt:lpstr>Fin -4</vt:lpstr>
      <vt:lpstr>Term Loan Mapping</vt:lpstr>
      <vt:lpstr>Health check</vt:lpstr>
      <vt:lpstr>Asset Base </vt:lpstr>
      <vt:lpstr>Deviation list</vt:lpstr>
      <vt:lpstr>'Asset Base '!Print_Area</vt:lpstr>
      <vt:lpstr>'Deviation list'!Print_Area</vt:lpstr>
      <vt:lpstr>'Health check'!Print_Area</vt:lpstr>
      <vt:lpstr>'Key loan summary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Logeshwaran M</cp:lastModifiedBy>
  <cp:revision>0</cp:revision>
  <dcterms:created xsi:type="dcterms:W3CDTF">2006-09-16T00:00:00Z</dcterms:created>
  <dcterms:modified xsi:type="dcterms:W3CDTF">2026-10-14T08:09:04Z</dcterms:modified>
  <dc:language>en-US</dc:language>
</cp:coreProperties>
</file>